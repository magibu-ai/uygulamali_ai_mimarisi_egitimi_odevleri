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-chunking" sheetId="1" r:id="rId4"/>
    <sheet name="token-chunking" sheetId="2" r:id="rId5"/>
    <sheet name="sentence-chunking" sheetId="3" r:id="rId6"/>
    <sheet name="semantic-chunking" sheetId="4" r:id="rId7"/>
    <sheet name="semantic-chunking-half-dim" sheetId="5" r:id="rId8"/>
  </sheets>
</workbook>
</file>

<file path=xl/sharedStrings.xml><?xml version="1.0" encoding="utf-8"?>
<sst xmlns="http://schemas.openxmlformats.org/spreadsheetml/2006/main" uniqueCount="223">
  <si>
    <t>Positive Questions</t>
  </si>
  <si>
    <t>0.5</t>
  </si>
  <si>
    <t>0.7</t>
  </si>
  <si>
    <t>Result Should be</t>
  </si>
  <si>
    <t>True Positive (0.5)</t>
  </si>
  <si>
    <t>False Positive (0.5)</t>
  </si>
  <si>
    <t>False Negative (0.5)</t>
  </si>
  <si>
    <t>True Positive (0.7)</t>
  </si>
  <si>
    <t>False Positive (0.7)</t>
  </si>
  <si>
    <t>False Negative (0.7)</t>
  </si>
  <si>
    <t>At Least One Document Is Found (0.5)</t>
  </si>
  <si>
    <t>At Least One Document Is Found (0.7)</t>
  </si>
  <si>
    <t>Açık kalp ameliyatı nedir?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</si>
  <si>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>, Similarity: 0.7044, Text: - Açık Kal...</t>
    </r>
  </si>
  <si>
    <r>
      <rPr>
        <u val="single"/>
        <sz val="10"/>
        <color indexed="8"/>
        <rFont val="Helvetica Neue"/>
      </rPr>
      <t>https://www.acibadem.com.tr/ilgi-alani/acik-kalp-ameliyati/</t>
    </r>
  </si>
  <si>
    <t>True</t>
  </si>
  <si>
    <t>False</t>
  </si>
  <si>
    <t>Onkolojik cerrahi nedir?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</si>
  <si>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>, Similarity: 0.6168, Text: - Onkoloji...</t>
    </r>
  </si>
  <si>
    <t>N/A</t>
  </si>
  <si>
    <r>
      <rPr>
        <u val="single"/>
        <sz val="10"/>
        <color indexed="8"/>
        <rFont val="Helvetica Neue"/>
      </rPr>
      <t>https://www.acibadem.com.tr/acibadem-de/onkolojik-cerrahi/</t>
    </r>
  </si>
  <si>
    <t>Mide bulantısı neden olur?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</si>
  <si>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>, Similarity: 0.7796, Text: - Mide Bul...</t>
    </r>
  </si>
  <si>
    <r>
      <rPr>
        <u val="single"/>
        <sz val="10"/>
        <color indexed="8"/>
        <rFont val="Helvetica Neue"/>
      </rPr>
      <t>https://www.acibadem.com.tr/ilgi-alani/mide-bulantisi-neden-olur-surekli-mide-bulantisi-nedenleri/</t>
    </r>
  </si>
  <si>
    <t>Ağız yarası neden olur?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</si>
  <si>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0.7499, Text: - Ağız Yar...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https://www.acibadem.com.tr/ilgi-alani/aft/</t>
    </r>
    <r>
      <rPr>
        <sz val="10"/>
        <color indexed="8"/>
        <rFont val="Helvetica Neue"/>
      </rPr>
      <t xml:space="preserve">, Similarity: 0.6264, Text: Aft Nedir?...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https://www.acibadem.com.tr/ilgi-alani/agiz-kanseri/</t>
    </r>
    <r>
      <rPr>
        <sz val="10"/>
        <color indexed="8"/>
        <rFont val="Helvetica Neue"/>
      </rPr>
      <t>, Similarity: 0.5290, Text: Ağız Kanse...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</si>
  <si>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>, Similarity: 0.7499, Text: - Ağız Yar...</t>
    </r>
  </si>
  <si>
    <r>
      <rPr>
        <u val="single"/>
        <sz val="10"/>
        <color indexed="8"/>
        <rFont val="Helvetica Neue"/>
      </rPr>
      <t>https://www.acibadem.com.tr/ilgi-alani/agiz-yarasi-nedir-belirtileri-ve-nedenleri/</t>
    </r>
  </si>
  <si>
    <t>Adet gecikmesi belirtileri nelerdir?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</si>
  <si>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>, Similarity: 0.6696, Text: Regl (adet...</t>
    </r>
  </si>
  <si>
    <r>
      <rPr>
        <u val="single"/>
        <sz val="10"/>
        <color indexed="8"/>
        <rFont val="Helvetica Neue"/>
      </rPr>
      <t>https://www.acibadem.com.tr/ilgi-alani/adet-gecikmesi-nedenleri-regl-gecikmesi-neden-olur/</t>
    </r>
  </si>
  <si>
    <t>Vazopressin hormonunun görevleri nelerdir?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</si>
  <si>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>, Similarity: 0.5643, Text: ADH (Antid...</t>
    </r>
  </si>
  <si>
    <r>
      <rPr>
        <u val="single"/>
        <sz val="10"/>
        <color indexed="8"/>
        <rFont val="Helvetica Neue"/>
      </rPr>
      <t>https://www.acibadem.com.tr/ilgi-alani/adh-vazopressin-nedir/</t>
    </r>
  </si>
  <si>
    <t>Bel fıtığı belirtileri nelerdir?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</si>
  <si>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>, Similarity: 0.7298, Text: - Bel Fıtı...</t>
    </r>
  </si>
  <si>
    <r>
      <rPr>
        <u val="single"/>
        <sz val="10"/>
        <color indexed="8"/>
        <rFont val="Helvetica Neue"/>
      </rPr>
      <t>https://www.acibadem.com.tr/ilgi-alani/bel-fitigi-nedir/</t>
    </r>
  </si>
  <si>
    <t>Amputasyonu bana açıkla.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</si>
  <si>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https://www.acibadem.com.tr/ilgi-alani/ampute-ne-demek/</t>
    </r>
    <r>
      <rPr>
        <sz val="10"/>
        <color indexed="8"/>
        <rFont val="Helvetica Neue"/>
      </rPr>
      <t>, Similarity: 0.5571, Text: - Ampute N...</t>
    </r>
  </si>
  <si>
    <r>
      <rPr>
        <u val="single"/>
        <sz val="10"/>
        <color indexed="8"/>
        <rFont val="Helvetica Neue"/>
      </rPr>
      <t>https://www.acibadem.com.tr/ilgi-alani/ampute-ne-demek/</t>
    </r>
  </si>
  <si>
    <t>Amilaz neden yükselir?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</si>
  <si>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>, Similarity: 0.5471, Text: - Amilaz N...</t>
    </r>
  </si>
  <si>
    <r>
      <rPr>
        <u val="single"/>
        <sz val="10"/>
        <color indexed="8"/>
        <rFont val="Helvetica Neue"/>
      </rPr>
      <t>https://www.acibadem.com.tr/ilgi-alani/amilaz-nedir/</t>
    </r>
  </si>
  <si>
    <t>Göz kapağı ameliyatsız düzeltilebilir mi?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</si>
  <si>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 xml:space="preserve">, Similarity: 0.6690, Text: - Göz Kapa...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>, Similarity: 0.5594, Text: Akıllı mer...</t>
    </r>
  </si>
  <si>
    <r>
      <rPr>
        <u val="single"/>
        <sz val="10"/>
        <color indexed="8"/>
        <rFont val="Helvetica Neue"/>
      </rPr>
      <t>https://www.acibadem.com.tr/ilgi-alani/ameliyatsiz-goz-kapagi-estetigi/</t>
    </r>
  </si>
  <si>
    <t>Amiloidozun organlar üzerinde ne tür etkileri vardır?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</si>
  <si>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>, Similarity: 0.5858, Text: Amiloidoz,...</t>
    </r>
  </si>
  <si>
    <r>
      <rPr>
        <u val="single"/>
        <sz val="10"/>
        <color indexed="8"/>
        <rFont val="Helvetica Neue"/>
      </rPr>
      <t>https://www.acibadem.com.tr/ilgi-alani/amiloidoz-nedir-organlarda-protein-birikimi/</t>
    </r>
  </si>
  <si>
    <t>Ani öfke patlamaları neden olur?</t>
  </si>
  <si>
    <r>
      <rPr>
        <u val="single"/>
        <sz val="10"/>
        <color indexed="8"/>
        <rFont val="Helvetica Neue"/>
      </rPr>
      <t>https://www.acibadem.com.tr/ilgi-alani/amok-hastaligi-nedir-ani-ofke-patlamalari/</t>
    </r>
  </si>
  <si>
    <t>Anoreksiya nasıl tedavi edilir?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</si>
  <si>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>, Similarity: 0.5640, Text: Anoreksiya...</t>
    </r>
  </si>
  <si>
    <r>
      <rPr>
        <u val="single"/>
        <sz val="10"/>
        <color indexed="8"/>
        <rFont val="Helvetica Neue"/>
      </rPr>
      <t>https://www.acibadem.com.tr/ilgi-alani/anoreksiya-nedir-anoreksiya-nervoza-belirtileri/</t>
    </r>
  </si>
  <si>
    <t>Ankilozan spondalit belirtileri nelerdir?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</si>
  <si>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>, Similarity: 0.7829, Text: Ankilozan ...</t>
    </r>
  </si>
  <si>
    <r>
      <rPr>
        <u val="single"/>
        <sz val="10"/>
        <color indexed="8"/>
        <rFont val="Helvetica Neue"/>
      </rPr>
      <t>https://www.acibadem.com.tr/ilgi-alani/ankilozan-spondilit/</t>
    </r>
  </si>
  <si>
    <t>Anksiyete türleri nelerdir?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</si>
  <si>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0.5309, Text: Anksiyete,...</t>
    </r>
  </si>
  <si>
    <r>
      <rPr>
        <u val="single"/>
        <sz val="10"/>
        <color indexed="8"/>
        <rFont val="Helvetica Neue"/>
      </rPr>
      <t>https://www.acibadem.com.tr/ilgi-alani/anksiyete/</t>
    </r>
  </si>
  <si>
    <t>Bazofil ne zaman yükselir?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</si>
  <si>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https://www.acibadem.com.tr/ilgi-alani/baso-bazofil-nedir-yuksekligi-dusuklugu/</t>
    </r>
    <r>
      <rPr>
        <sz val="10"/>
        <color indexed="8"/>
        <rFont val="Helvetica Neue"/>
      </rPr>
      <t>, Similarity: 0.6293, Text: Bazofil(Ba...</t>
    </r>
  </si>
  <si>
    <r>
      <rPr>
        <u val="single"/>
        <sz val="10"/>
        <color indexed="8"/>
        <rFont val="Helvetica Neue"/>
      </rPr>
      <t>https://www.acibadem.com.tr/ilgi-alani/baso-bazofil-nedir-yuksekligi-dusuklugu/</t>
    </r>
  </si>
  <si>
    <t>Antikor testi nasıl yapılır?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</si>
  <si>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https://www.acibadem.com.tr/ilgi-alani/antikor/</t>
    </r>
    <r>
      <rPr>
        <sz val="10"/>
        <color indexed="8"/>
        <rFont val="Helvetica Neue"/>
      </rPr>
      <t>, Similarity: 0.5762, Text: Antikor Ne...</t>
    </r>
  </si>
  <si>
    <r>
      <rPr>
        <u val="single"/>
        <sz val="10"/>
        <color indexed="8"/>
        <rFont val="Helvetica Neue"/>
      </rPr>
      <t>https://www.acibadem.com.tr/ilgi-alani/antikor/</t>
    </r>
  </si>
  <si>
    <t>Arı sokmasına ne iyi gelir?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</si>
  <si>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>, Similarity: 0.5358, Text: Arı sokmas...</t>
    </r>
  </si>
  <si>
    <r>
      <rPr>
        <u val="single"/>
        <sz val="10"/>
        <color indexed="8"/>
        <rFont val="Helvetica Neue"/>
      </rPr>
      <t>https://www.acibadem.com.tr/ilgi-alani/ari-sokmasi/</t>
    </r>
  </si>
  <si>
    <t>Kardiyak arrest belirtileri nelerdir?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</si>
  <si>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>, Similarity: 0.6745, Text: Arrest,kal...</t>
    </r>
  </si>
  <si>
    <r>
      <rPr>
        <u val="single"/>
        <sz val="10"/>
        <color indexed="8"/>
        <rFont val="Helvetica Neue"/>
      </rPr>
      <t>https://www.acibadem.com.tr/ilgi-alani/arrest-nedir-kardiyak-arrest-nedir/</t>
    </r>
  </si>
  <si>
    <t>Aort kapak darlığı neden olur?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</si>
  <si>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0.7468,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>, Similarity: 0.5317, Text: Aort anevr...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</si>
  <si>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>, Similarity: 0.7468, Text: Aort kapak...</t>
    </r>
  </si>
  <si>
    <r>
      <rPr>
        <u val="single"/>
        <sz val="10"/>
        <color indexed="8"/>
        <rFont val="Helvetica Neue"/>
      </rPr>
      <t>https://www.acibadem.com.tr/ilgi-alani/aort-kapak-darligi-nedir/</t>
    </r>
  </si>
  <si>
    <t>Total Scores</t>
  </si>
  <si>
    <t>Negative Questions</t>
  </si>
  <si>
    <t>True Negative (0.5)</t>
  </si>
  <si>
    <t xml:space="preserve">False Positive (0.5) </t>
  </si>
  <si>
    <t>True Negative (0.7)</t>
  </si>
  <si>
    <t xml:space="preserve">False Positive (0.7) </t>
  </si>
  <si>
    <t>Kedilerde böbrek hastalığı belirtileri nelerdir?</t>
  </si>
  <si>
    <t>Köpeklerde kusmaya ne sebep olur?</t>
  </si>
  <si>
    <t>AES algoritması nedir?</t>
  </si>
  <si>
    <t>Türkiye’nin en büyük hastanesi neresidir?</t>
  </si>
  <si>
    <t>Kuantum bilgisayarları ne amaçla kullanılır?</t>
  </si>
  <si>
    <t>CSS nedir?</t>
  </si>
  <si>
    <t>Yapay zeka uygulama alanları nerelerdir?</t>
  </si>
  <si>
    <t>Pil nedir?</t>
  </si>
  <si>
    <t>Zika virüsü nedir?</t>
  </si>
  <si>
    <t>Yumurtalık kistlerini bana açıkla.</t>
  </si>
  <si>
    <t>Total Scores From Cross Tables</t>
  </si>
  <si>
    <t>True Positive</t>
  </si>
  <si>
    <t>False Positive</t>
  </si>
  <si>
    <t>True Negative</t>
  </si>
  <si>
    <t>False Negative</t>
  </si>
  <si>
    <t>Metrics</t>
  </si>
  <si>
    <t>Precision</t>
  </si>
  <si>
    <t>Recall</t>
  </si>
  <si>
    <t>F1</t>
  </si>
  <si>
    <t>Hit Rate</t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</si>
  <si>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>, Similarity: 0.7304, Text: - Açık Kal...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</si>
  <si>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 xml:space="preserve">, Similarity: 0.6168, Text: - Onkoloji...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>, Similarity: 0.5125, Text:  ve minima...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</si>
  <si>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>, Similarity: 0.8028, Text: - Mide Bul...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</si>
  <si>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0.7525, Text: - Ağız Yar…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https://www.acibadem.com.tr/ilgi-alani/aft/</t>
    </r>
    <r>
      <rPr>
        <sz val="10"/>
        <color indexed="8"/>
        <rFont val="Helvetica Neue"/>
      </rPr>
      <t xml:space="preserve">, Similarity: 0.6264, Text: Aft Nedir?...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https://www.acibadem.com.tr/ilgi-alani/agiz-kanseri/</t>
    </r>
    <r>
      <rPr>
        <sz val="10"/>
        <color indexed="8"/>
        <rFont val="Helvetica Neue"/>
      </rPr>
      <t>, Similarity: 0.5290, Text: Ağız Kanse...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</si>
  <si>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>, Similarity: 0.7525, Text: - Ağız Yar...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</si>
  <si>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>, Similarity: 0.6983, Text: , yaşadığı...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</si>
  <si>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>, Similarity: 0.5720, Text: ADH (Antid..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</si>
  <si>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>, Similarity: 0.7360, Text: - Bel Fıtı...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</si>
  <si>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0.5471, Text: - Amilaz 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https://www.acibadem.com.tr/ilgi-alani/amfizem-nedir/</t>
    </r>
    <r>
      <rPr>
        <sz val="10"/>
        <color indexed="8"/>
        <rFont val="Helvetica Neue"/>
      </rPr>
      <t>, Similarity: 0.5336, Text: - Amfizem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</si>
  <si>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 xml:space="preserve">, Similarity: 0.6822, Text:  uygulamas...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>, Similarity: 0.5594, Text: Akıllı mer...</t>
    </r>
  </si>
  <si>
    <r>
      <rPr>
        <sz val="10"/>
        <color indexed="8"/>
        <rFont val="Helvetica Neue"/>
      </rPr>
      <t xml:space="preserve"> 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>, Similarity: 0.6027, Text: Amiloidoz,...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</si>
  <si>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>, Similarity: 0.6371, Text: oreksiya n...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</si>
  <si>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>, Similarity: 0.7775, Text: Ankilozan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</si>
  <si>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0.5870, Text: Anksiyete,...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</si>
  <si>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https://www.acibadem.com.tr/ilgi-alani/baso-bazofil-nedir-yuksekligi-dusuklugu/</t>
    </r>
    <r>
      <rPr>
        <sz val="10"/>
        <color indexed="8"/>
        <rFont val="Helvetica Neue"/>
      </rPr>
      <t>, Similarity: 0.6383, Text: Bazofil(Ba...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</si>
  <si>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>, Similarity: 0.6362, Text:  hızlı bir...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</si>
  <si>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0.7468,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>, Similarity: 0.5431, Text: Aort anevr...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</si>
  <si>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>, Similarity: 0.5248, Text: istin tama...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</si>
  <si>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0.9462, Text: - Açık Kal...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0.7291, Text: Cerrahi Mü...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https://www.acibadem.com.tr/ilgi-alani/ablasyon-nedir/</t>
    </r>
    <r>
      <rPr>
        <sz val="10"/>
        <color indexed="8"/>
        <rFont val="Helvetica Neue"/>
      </rPr>
      <t xml:space="preserve">, Similarity: 0.6949, Text: Kardiyak C...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 xml:space="preserve">, Similarity: 0.6869,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 xml:space="preserve">, Similarity: 0.6672, Text: - Kardiyov...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0.6476, Text: Apandisit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0.6065, Text: Cerrahi se...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0.5860, Text: Kalıcı bir...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https://www.acibadem.com.tr/ilgi-alani/anjina-pektoris-nedir/</t>
    </r>
    <r>
      <rPr>
        <sz val="10"/>
        <color indexed="8"/>
        <rFont val="Helvetica Neue"/>
      </rPr>
      <t xml:space="preserve">, Similarity: 0.5788, Text: Daha ileri...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https://www.acibadem.com.tr/ilgi-alani/akondroplazi/</t>
    </r>
    <r>
      <rPr>
        <sz val="10"/>
        <color indexed="8"/>
        <rFont val="Helvetica Neue"/>
      </rPr>
      <t xml:space="preserve">, Similarity: 0.5544, Text: Ağır vakal...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 xml:space="preserve">, Similarity: 0.5455, Text: - Onkoloji...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https://www.acibadem.com.tr/ilgi-alani/acik-nefrektomi-nasil-yapiliyor/</t>
    </r>
    <r>
      <rPr>
        <sz val="10"/>
        <color indexed="8"/>
        <rFont val="Helvetica Neue"/>
      </rPr>
      <t xml:space="preserve">, Similarity: 0.5434, Text: Notes Cerr...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https://www.acibadem.com.tr/ilgi-alani/agrili-cinsel-iliski-disparoni-nedir/</t>
    </r>
    <r>
      <rPr>
        <sz val="10"/>
        <color indexed="8"/>
        <rFont val="Helvetica Neue"/>
      </rPr>
      <t xml:space="preserve">, Similarity: 0.5426, Text: Yapısal so...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0.5404, Text: Bel Fıtığı...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https://www.acibadem.com.tr/ilgi-alani/anus-nedir-hastaliklari-nelerdir/</t>
    </r>
    <r>
      <rPr>
        <sz val="10"/>
        <color indexed="8"/>
        <rFont val="Helvetica Neue"/>
      </rPr>
      <t xml:space="preserve">, Similarity: 0.5394, Text: Kronik vak...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https://www.acibadem.com.tr/ilgi-alani/akciger-nakli/</t>
    </r>
    <r>
      <rPr>
        <sz val="10"/>
        <color indexed="8"/>
        <rFont val="Helvetica Neue"/>
      </rPr>
      <t xml:space="preserve">, Similarity: 0.5388, Text: Göğüs kafe...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0.5376,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https://www.acibadem.com.tr/ilgi-alani/endoskopik-sleeve-gastroplasti/</t>
    </r>
    <r>
      <rPr>
        <sz val="10"/>
        <color indexed="8"/>
        <rFont val="Helvetica Neue"/>
      </rPr>
      <t xml:space="preserve">, Similarity: 0.5349, Text: Endoskopik...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https://www.acibadem.com.tr/ilgi-alani/anne-estetigi-mommy-makeover/</t>
    </r>
    <r>
      <rPr>
        <sz val="10"/>
        <color indexed="8"/>
        <rFont val="Helvetica Neue"/>
      </rPr>
      <t xml:space="preserve">, Similarity: 0.5264, Text: - Anne Est...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 xml:space="preserve">, Similarity: 0.5222, Text: Ameliyat,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https://www.acibadem.com.tr/ilgi-alani/akciger-zari-kanseri-mezotelyoma-nedir/</t>
    </r>
    <r>
      <rPr>
        <sz val="10"/>
        <color indexed="8"/>
        <rFont val="Helvetica Neue"/>
      </rPr>
      <t xml:space="preserve">, Similarity: 0.5097, Text: Ameliyat,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https://www.acibadem.com.tr/ilgi-alani/adenokarsinom/</t>
    </r>
    <r>
      <rPr>
        <sz val="10"/>
        <color indexed="8"/>
        <rFont val="Helvetica Neue"/>
      </rPr>
      <t xml:space="preserve">, Similarity: 0.5093,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https://www.acibadem.com.tr/ilgi-alani/akromegali/</t>
    </r>
    <r>
      <rPr>
        <sz val="10"/>
        <color indexed="8"/>
        <rFont val="Helvetica Neue"/>
      </rPr>
      <t xml:space="preserve">, Similarity: 0.5035, Text: Bazı vakal...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https://www.acibadem.com.tr/ilgi-alani/akciger-kanamasi-nedir-belirtileri-tedavisi/</t>
    </r>
    <r>
      <rPr>
        <sz val="10"/>
        <color indexed="8"/>
        <rFont val="Helvetica Neue"/>
      </rPr>
      <t xml:space="preserve">, Similarity: 0.5030,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>, Similarity: 0.5008, Text: Özellikle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</si>
  <si>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0.9462, Text: - Açık Kal...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>, Similarity: 0.7291, Text: Cerrahi Mü...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</si>
  <si>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 xml:space="preserve">, Similarity: 0.9078, Text: - Onkoloji...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 xml:space="preserve">, Similarity: 0.6486, Text: - Genel on...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 xml:space="preserve">, Similarity: 0.6194, Text: - Cerrahi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0.6021, Text: Kalıcı bir...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https://www.acibadem.com.tr/ilgi-alani/agrili-cinsel-iliski-disparoni-nedir/</t>
    </r>
    <r>
      <rPr>
        <sz val="10"/>
        <color indexed="8"/>
        <rFont val="Helvetica Neue"/>
      </rPr>
      <t xml:space="preserve">, Similarity: 0.5850, Text: Yapısal so...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https://www.acibadem.com.tr/ilgi-alani/akciger-nakli/</t>
    </r>
    <r>
      <rPr>
        <sz val="10"/>
        <color indexed="8"/>
        <rFont val="Helvetica Neue"/>
      </rPr>
      <t xml:space="preserve">, Similarity: 0.5794, Text: Göğüs kafe...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0.5758, Text: Apandisit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 xml:space="preserve">, Similarity: 0.5748, Text: Özellikle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https://www.acibadem.com.tr/ilgi-alani/akciger-kanseri/</t>
    </r>
    <r>
      <rPr>
        <sz val="10"/>
        <color indexed="8"/>
        <rFont val="Helvetica Neue"/>
      </rPr>
      <t xml:space="preserve">, Similarity: 0.5719,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https://www.acibadem.com.tr/ilgi-alani/adenokarsinom/</t>
    </r>
    <r>
      <rPr>
        <sz val="10"/>
        <color indexed="8"/>
        <rFont val="Helvetica Neue"/>
      </rPr>
      <t xml:space="preserve">, Similarity: 0.5675, Text: Cerrahi mü...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 xml:space="preserve">, Similarity: 0.5592, Text: Cerrahi Mü...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https://www.acibadem.com.tr/ilgi-alani/ablasyon-nedir/</t>
    </r>
    <r>
      <rPr>
        <sz val="10"/>
        <color indexed="8"/>
        <rFont val="Helvetica Neue"/>
      </rPr>
      <t xml:space="preserve">, Similarity: 0.5582, Text: Kardiyak C...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0.5578,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0.5540, Text: - Açık Kal...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https://www.acibadem.com.tr/ilgi-alani/anus-nedir-hastaliklari-nelerdir/</t>
    </r>
    <r>
      <rPr>
        <sz val="10"/>
        <color indexed="8"/>
        <rFont val="Helvetica Neue"/>
      </rPr>
      <t xml:space="preserve">, Similarity: 0.5527, Text: Kronik vak...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https://www.acibadem.com.tr/ilgi-alani/endoskopik-sleeve-gastroplasti/</t>
    </r>
    <r>
      <rPr>
        <sz val="10"/>
        <color indexed="8"/>
        <rFont val="Helvetica Neue"/>
      </rPr>
      <t xml:space="preserve">, Similarity: 0.5475, Text: Endoskopik...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https://www.acibadem.com.tr/ilgi-alani/akromegali/</t>
    </r>
    <r>
      <rPr>
        <sz val="10"/>
        <color indexed="8"/>
        <rFont val="Helvetica Neue"/>
      </rPr>
      <t xml:space="preserve">, Similarity: 0.5463, Text: Bazı vakal...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https://www.acibadem.com.tr/ilgi-alani/anne-karninda-tedavi-ve-cerrahi/</t>
    </r>
    <r>
      <rPr>
        <sz val="10"/>
        <color indexed="8"/>
        <rFont val="Helvetica Neue"/>
      </rPr>
      <t xml:space="preserve">, Similarity: 0.5419, Text: Fetal Cerr...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0.5402, Text: Cerrahi Mü...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https://www.acibadem.com.tr/ilgi-alani/akciger-kanamasi-nedir-belirtileri-tedavisi/</t>
    </r>
    <r>
      <rPr>
        <sz val="10"/>
        <color indexed="8"/>
        <rFont val="Helvetica Neue"/>
      </rPr>
      <t xml:space="preserve">, Similarity: 0.5365, Text: Cerrahi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0.5290, Text: Şiddetli v...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0.5283, Text: Endoskopik...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 xml:space="preserve">, Similarity: 0.5117, Text: Ameliyat,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https://www.acibadem.com.tr/ilgi-alani/akciger-zari-kanseri-mezotelyoma-nedir/</t>
    </r>
    <r>
      <rPr>
        <sz val="10"/>
        <color indexed="8"/>
        <rFont val="Helvetica Neue"/>
      </rPr>
      <t>, Similarity: 0.5055, Text: Akciğer Za...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</si>
  <si>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>, Similarity: 0.9078, Text: - Onkoloji...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</si>
  <si>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 xml:space="preserve">, Similarity: 0.8421, Text: Mide bulan...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https://www.acibadem.com.tr/ilgi-alani/aldosteron/</t>
    </r>
    <r>
      <rPr>
        <sz val="10"/>
        <color indexed="8"/>
        <rFont val="Helvetica Neue"/>
      </rPr>
      <t xml:space="preserve">, Similarity: 0.7883,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0.7813, Text: Ateş ve mi...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0.7733,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https://www.acibadem.com.tr/ilgi-alani/analjezik-nedir/</t>
    </r>
    <r>
      <rPr>
        <sz val="10"/>
        <color indexed="8"/>
        <rFont val="Helvetica Neue"/>
      </rPr>
      <t xml:space="preserve">, Similarity: 0.7192, Text: Midede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https://www.acibadem.com.tr/ilgi-alani/magnezyum-nedir-magnezyum-eksikligi-belirtileri/</t>
    </r>
    <r>
      <rPr>
        <sz val="10"/>
        <color indexed="8"/>
        <rFont val="Helvetica Neue"/>
      </rPr>
      <t xml:space="preserve">, Similarity: 0.7186,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https://www.acibadem.com.tr/ilgi-alani/adenovirus/</t>
    </r>
    <r>
      <rPr>
        <sz val="10"/>
        <color indexed="8"/>
        <rFont val="Helvetica Neue"/>
      </rPr>
      <t xml:space="preserve">, Similarity: 0.7063, Text: Özellikle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 xml:space="preserve">, Similarity: 0.6808,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https://www.acibadem.com.tr/ilgi-alani/anafilaksi/</t>
    </r>
    <r>
      <rPr>
        <sz val="10"/>
        <color indexed="8"/>
        <rFont val="Helvetica Neue"/>
      </rPr>
      <t xml:space="preserve">, Similarity: 0.6313, Text: Mide Bulan...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0.6289,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 xml:space="preserve">, Similarity: 0.6119, Text: - Sindirim...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https://www.acibadem.com.tr/ilgi-alani/adenokarsinom/</t>
    </r>
    <r>
      <rPr>
        <sz val="10"/>
        <color indexed="8"/>
        <rFont val="Helvetica Neue"/>
      </rPr>
      <t xml:space="preserve">, Similarity: 0.6053, Text: Sindirim p...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0.5822, Text: Bu durum,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 xml:space="preserve">, Similarity: 0.5681,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https://www.acibadem.com.tr/ilgi-alani/anjina-pektoris-nedir/</t>
    </r>
    <r>
      <rPr>
        <sz val="10"/>
        <color indexed="8"/>
        <rFont val="Helvetica Neue"/>
      </rPr>
      <t xml:space="preserve">, Similarity: 0.5626, Text: Bazı kişil...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https://www.acibadem.com.tr/ilgi-alani/alerji/</t>
    </r>
    <r>
      <rPr>
        <sz val="10"/>
        <color indexed="8"/>
        <rFont val="Helvetica Neue"/>
      </rPr>
      <t xml:space="preserve">, Similarity: 0.5616, Text: Gıda alerj...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 xml:space="preserve">, Similarity: 0.5510, Text: Işıkla uyu...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https://www.acibadem.com.tr/ilgi-alani/akciger-kanamasi-nedir-belirtileri-tedavisi/</t>
    </r>
    <r>
      <rPr>
        <sz val="10"/>
        <color indexed="8"/>
        <rFont val="Helvetica Neue"/>
      </rPr>
      <t xml:space="preserve">, Similarity: 0.5375, Text: Baş Dönmes...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https://www.acibadem.com.tr/ilgi-alani/akut-pankreatit/</t>
    </r>
    <r>
      <rPr>
        <sz val="10"/>
        <color indexed="8"/>
        <rFont val="Helvetica Neue"/>
      </rPr>
      <t xml:space="preserve">, Similarity: 0.5362, Text: Ancak gitt...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https://www.acibadem.com.tr/ilgi-alani/agiz-kanseri/</t>
    </r>
    <r>
      <rPr>
        <sz val="10"/>
        <color indexed="8"/>
        <rFont val="Helvetica Neue"/>
      </rPr>
      <t xml:space="preserve">, Similarity: 0.5339, Text: Bulantı ve...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https://www.acibadem.com.tr/ilgi-alani/anal-makat-kanseri/</t>
    </r>
    <r>
      <rPr>
        <sz val="10"/>
        <color indexed="8"/>
        <rFont val="Helvetica Neue"/>
      </rPr>
      <t xml:space="preserve">, Similarity: 0.5321, Text: Karın Bölg...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 xml:space="preserve">, Similarity: 0.5261, Text: Bu durumda...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 xml:space="preserve">, Similarity: 0.5212, Text: Bu durumun...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https://www.acibadem.com.tr/ilgi-alani/adenit-nedir-belirtileri-tedavi/</t>
    </r>
    <r>
      <rPr>
        <sz val="10"/>
        <color indexed="8"/>
        <rFont val="Helvetica Neue"/>
      </rPr>
      <t xml:space="preserve">, Similarity: 0.5206,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 xml:space="preserve">, Similarity: 0.5197, Text: Anoreksiya...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0.5180, Text: Bu durum,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https://www.acibadem.com.tr/ilgi-alani/akut-miyeloid-losemi-aml-nedir/</t>
    </r>
    <r>
      <rPr>
        <sz val="10"/>
        <color indexed="8"/>
        <rFont val="Helvetica Neue"/>
      </rPr>
      <t xml:space="preserve">, Similarity: 0.5143, Text: Özellikle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https://www.acibadem.com.tr/ilgi-alani/akciger-zari-kanseri-mezotelyoma-nedir/</t>
    </r>
    <r>
      <rPr>
        <sz val="10"/>
        <color indexed="8"/>
        <rFont val="Helvetica Neue"/>
      </rPr>
      <t xml:space="preserve">, Similarity: 0.5139, Text: Karın bölg...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https://www.acibadem.com.tr/ilgi-alani/antibiyotikler/</t>
    </r>
    <r>
      <rPr>
        <sz val="10"/>
        <color indexed="8"/>
        <rFont val="Helvetica Neue"/>
      </rPr>
      <t>, Similarity: 0.5084, Text: Evet, anti...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</si>
  <si>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 xml:space="preserve">, Similarity: 0.8421, Text: Mide bulan...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https://www.acibadem.com.tr/ilgi-alani/aldosteron/</t>
    </r>
    <r>
      <rPr>
        <sz val="10"/>
        <color indexed="8"/>
        <rFont val="Helvetica Neue"/>
      </rPr>
      <t xml:space="preserve">, Similarity: 0.7883,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0.7813, Text: Ateş ve mi...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0.7733,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https://www.acibadem.com.tr/ilgi-alani/analjezik-nedir/</t>
    </r>
    <r>
      <rPr>
        <sz val="10"/>
        <color indexed="8"/>
        <rFont val="Helvetica Neue"/>
      </rPr>
      <t xml:space="preserve">, Similarity: 0.7192, Text: Midede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https://www.acibadem.com.tr/ilgi-alani/magnezyum-nedir-magnezyum-eksikligi-belirtileri/</t>
    </r>
    <r>
      <rPr>
        <sz val="10"/>
        <color indexed="8"/>
        <rFont val="Helvetica Neue"/>
      </rPr>
      <t xml:space="preserve">, Similarity: 0.7186,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https://www.acibadem.com.tr/ilgi-alani/adenovirus/</t>
    </r>
    <r>
      <rPr>
        <sz val="10"/>
        <color indexed="8"/>
        <rFont val="Helvetica Neue"/>
      </rPr>
      <t>, Similarity: 0.7063, Text: Özellikle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</si>
  <si>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0.8393, Text: Ağız yaral...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https://www.acibadem.com.tr/ilgi-alani/agiz-kokusu/</t>
    </r>
    <r>
      <rPr>
        <sz val="10"/>
        <color indexed="8"/>
        <rFont val="Helvetica Neue"/>
      </rPr>
      <t xml:space="preserve">, Similarity: 0.7147, Text: Ağız Kokus...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https://www.acibadem.com.tr/ilgi-alani/aft/</t>
    </r>
    <r>
      <rPr>
        <sz val="10"/>
        <color indexed="8"/>
        <rFont val="Helvetica Neue"/>
      </rPr>
      <t xml:space="preserve">, Similarity: 0.6770, Text: - Dilde ve...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https://www.acibadem.com.tr/ilgi-alani/agiz-kanseri/</t>
    </r>
    <r>
      <rPr>
        <sz val="10"/>
        <color indexed="8"/>
        <rFont val="Helvetica Neue"/>
      </rPr>
      <t xml:space="preserve">, Similarity: 0.6074, Text: - Ağız içi...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https://www.acibadem.com.tr/ilgi-alani/artikulasyon-bozuklugu/</t>
    </r>
    <r>
      <rPr>
        <sz val="10"/>
        <color indexed="8"/>
        <rFont val="Helvetica Neue"/>
      </rPr>
      <t xml:space="preserve">, Similarity: 0.5531, Text: - Dudak, d...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https://www.acibadem.com.tr/ilgi-alani/anafilaksi/</t>
    </r>
    <r>
      <rPr>
        <sz val="10"/>
        <color indexed="8"/>
        <rFont val="Helvetica Neue"/>
      </rPr>
      <t xml:space="preserve">, Similarity: 0.5272, Text: Ağızda Kar...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https://www.acibadem.com.tr/ilgi-alani/all-akut-lenfoblastik-losemi-nedir-belirtileri-tedavisi/</t>
    </r>
    <r>
      <rPr>
        <sz val="10"/>
        <color indexed="8"/>
        <rFont val="Helvetica Neue"/>
      </rPr>
      <t xml:space="preserve">, Similarity: 0.5248, Text: Deride kol...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 xml:space="preserve">, Similarity: 0.5079, Text: - Ağız ve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https://www.acibadem.com.tr/ilgi-alani/akut-miyeloid-losemi-aml-nedir/</t>
    </r>
    <r>
      <rPr>
        <sz val="10"/>
        <color indexed="8"/>
        <rFont val="Helvetica Neue"/>
      </rPr>
      <t xml:space="preserve">, Similarity: 0.5047, Text: Ayrıca cil...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>, Similarity: 0.5025, Text: Bu şikâyet...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</si>
  <si>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0.8393, Text: Ağız yaral...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https://www.acibadem.com.tr/ilgi-alani/agiz-kokusu/</t>
    </r>
    <r>
      <rPr>
        <sz val="10"/>
        <color indexed="8"/>
        <rFont val="Helvetica Neue"/>
      </rPr>
      <t>, Similarity: 0.7147, Text: Ağız Kokus...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</si>
  <si>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 xml:space="preserve">, Similarity: 0.9051, Text: Adet gecik...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https://www.acibadem.com.tr/ilgi-alani/adet-oncesi-gerginlik-pms/</t>
    </r>
    <r>
      <rPr>
        <sz val="10"/>
        <color indexed="8"/>
        <rFont val="Helvetica Neue"/>
      </rPr>
      <t xml:space="preserve">, Similarity: 0.6629, Text: Bu belirti...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https://www.acibadem.com.tr/ilgi-alani/adet-duzensizligi/</t>
    </r>
    <r>
      <rPr>
        <sz val="10"/>
        <color indexed="8"/>
        <rFont val="Helvetica Neue"/>
      </rPr>
      <t xml:space="preserve">, Similarity: 0.6456, Text: - Bir adet...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https://www.acibadem.com.tr/ilgi-alani/adenokarsinom/</t>
    </r>
    <r>
      <rPr>
        <sz val="10"/>
        <color indexed="8"/>
        <rFont val="Helvetica Neue"/>
      </rPr>
      <t xml:space="preserve">, Similarity: 0.5967, Text: Erken evre...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https://www.acibadem.com.tr/ilgi-alani/akdeniz-anemisi-talasemi/</t>
    </r>
    <r>
      <rPr>
        <sz val="10"/>
        <color indexed="8"/>
        <rFont val="Helvetica Neue"/>
      </rPr>
      <t xml:space="preserve">, Similarity: 0.5876, Text: Yorgunluk,...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0.5691, Text: Adenomyozi...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 xml:space="preserve">, Similarity: 0.5651, Text: Ayrıca deh...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https://www.acibadem.com.tr/ilgi-alani/alt-solunum-yollari-enfeksiyonu-nedir/</t>
    </r>
    <r>
      <rPr>
        <sz val="10"/>
        <color indexed="8"/>
        <rFont val="Helvetica Neue"/>
      </rPr>
      <t xml:space="preserve">, Similarity: 0.5640, Text: Verem beli...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0.5466, Text: Örneğinreg...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 xml:space="preserve">, Similarity: 0.5392, Text: Arrest Bel...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https://www.acibadem.com.tr/ilgi-alani/aldosteron/</t>
    </r>
    <r>
      <rPr>
        <sz val="10"/>
        <color indexed="8"/>
        <rFont val="Helvetica Neue"/>
      </rPr>
      <t xml:space="preserve">, Similarity: 0.5350, Text: Bu belirti...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https://www.acibadem.com.tr/ilgi-alani/akciger-zari-kanseri-mezotelyoma-nedir/</t>
    </r>
    <r>
      <rPr>
        <sz val="10"/>
        <color indexed="8"/>
        <rFont val="Helvetica Neue"/>
      </rPr>
      <t xml:space="preserve">, Similarity: 0.5340, Text: Hastalığın...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https://www.acibadem.com.tr/ilgi-alani/adhd-dehb-nedir-belirtileri-ve-tedavi-yontemleri/</t>
    </r>
    <r>
      <rPr>
        <sz val="10"/>
        <color indexed="8"/>
        <rFont val="Helvetica Neue"/>
      </rPr>
      <t xml:space="preserve">, Similarity: 0.5311, Text: Bu bozuklu...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https://www.acibadem.com.tr/ilgi-alani/anus-nedir-hastaliklari-nelerdir/</t>
    </r>
    <r>
      <rPr>
        <sz val="10"/>
        <color indexed="8"/>
        <rFont val="Helvetica Neue"/>
      </rPr>
      <t xml:space="preserve">, Similarity: 0.5309, Text: Genellikle...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 xml:space="preserve">, Similarity: 0.5295, Text: - Ergenliğ...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https://www.acibadem.com.tr/ilgi-alani/all-akut-lenfoblastik-losemi-nedir-belirtileri-tedavisi/</t>
    </r>
    <r>
      <rPr>
        <sz val="10"/>
        <color indexed="8"/>
        <rFont val="Helvetica Neue"/>
      </rPr>
      <t xml:space="preserve">, Similarity: 0.5280, Text: Bu durum 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https://www.acibadem.com.tr/ilgi-alani/akciger-kanseri/</t>
    </r>
    <r>
      <rPr>
        <sz val="10"/>
        <color indexed="8"/>
        <rFont val="Helvetica Neue"/>
      </rPr>
      <t xml:space="preserve">, Similarity: 0.5208, Text: Bu belirgi...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https://www.acibadem.com.tr/ilgi-alani/adenit-nedir-belirtileri-tedavi/</t>
    </r>
    <r>
      <rPr>
        <sz val="10"/>
        <color indexed="8"/>
        <rFont val="Helvetica Neue"/>
      </rPr>
      <t xml:space="preserve">, Similarity: 0.5183,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https://www.acibadem.com.tr/ilgi-alani/albasti-lohusalik-hummasi-nedir-belirtileri-tedavisi/</t>
    </r>
    <r>
      <rPr>
        <sz val="10"/>
        <color indexed="8"/>
        <rFont val="Helvetica Neue"/>
      </rPr>
      <t xml:space="preserve">, Similarity: 0.5174, Text: Vajinal 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0.5168, Text: Bu durum,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</si>
  <si>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>, Similarity: 0.9051, Text: Adet gecik...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</si>
  <si>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 xml:space="preserve">, Similarity: 0.6252, Text: - ADH (Vaz...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https://www.acibadem.com.tr/ilgi-alani/aldosteron/</t>
    </r>
    <r>
      <rPr>
        <sz val="10"/>
        <color indexed="8"/>
        <rFont val="Helvetica Neue"/>
      </rPr>
      <t xml:space="preserve">, Similarity: 0.5502, Text: Bu hormon,...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https://www.acibadem.com.tr/ilgi-alani/akromegali/</t>
    </r>
    <r>
      <rPr>
        <sz val="10"/>
        <color indexed="8"/>
        <rFont val="Helvetica Neue"/>
      </rPr>
      <t xml:space="preserve">, Similarity: 0.5261, Text: Büyüme hor...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https://www.acibadem.com.tr/ilgi-alani/addison-hastaligi/</t>
    </r>
    <r>
      <rPr>
        <sz val="10"/>
        <color indexed="8"/>
        <rFont val="Helvetica Neue"/>
      </rPr>
      <t>, Similarity: 0.5141, Text: Adrenokort...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</si>
  <si>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0.8454, Text: Bel fıtığı...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https://www.acibadem.com.tr/ilgi-alani/kol-agrisi-neden-olur/</t>
    </r>
    <r>
      <rPr>
        <sz val="10"/>
        <color indexed="8"/>
        <rFont val="Helvetica Neue"/>
      </rPr>
      <t xml:space="preserve">, Similarity: 0.7027, Text: Boyun fıtı...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https://www.acibadem.com.tr/ilgi-alani/anevrizmal-kemik-kisti-nedir-belirtileri/</t>
    </r>
    <r>
      <rPr>
        <sz val="10"/>
        <color indexed="8"/>
        <rFont val="Helvetica Neue"/>
      </rPr>
      <t xml:space="preserve">, Similarity: 0.6323, Text: Bu belirti...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 xml:space="preserve">, Similarity: 0.5525, Text: Hastalık,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>, Similarity: 0.5221, Text: Ağrı bazen...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</si>
  <si>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0.8454, Text: Bel fıtığı...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https://www.acibadem.com.tr/ilgi-alani/kol-agrisi-neden-olur/</t>
    </r>
    <r>
      <rPr>
        <sz val="10"/>
        <color indexed="8"/>
        <rFont val="Helvetica Neue"/>
      </rPr>
      <t>, Similarity: 0.7027, Text: Boyun fıtı..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</si>
  <si>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https://www.acibadem.com.tr/ilgi-alani/ampute-ne-demek/</t>
    </r>
    <r>
      <rPr>
        <sz val="10"/>
        <color indexed="8"/>
        <rFont val="Helvetica Neue"/>
      </rPr>
      <t xml:space="preserve">, Similarity: 0.7292, Text: - Amputasy...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 xml:space="preserve">, Similarity: 0.5307, Text: - İşitme 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0.5303, Text: Hasta yürü...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https://www.acibadem.com.tr/ilgi-alani/akciger-zari-kanseri-mezotelyoma-nedir/</t>
    </r>
    <r>
      <rPr>
        <sz val="10"/>
        <color indexed="8"/>
        <rFont val="Helvetica Neue"/>
      </rPr>
      <t xml:space="preserve">, Similarity: 0.5162, Text: Ameliyat,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https://www.acibadem.com.tr/ilgi-alani/als-amyotrofik-lateral-skleroz/</t>
    </r>
    <r>
      <rPr>
        <sz val="10"/>
        <color indexed="8"/>
        <rFont val="Helvetica Neue"/>
      </rPr>
      <t>, Similarity: 0.5100, Text: Kaslarda g...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</si>
  <si>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https://www.acibadem.com.tr/ilgi-alani/ampute-ne-demek/</t>
    </r>
    <r>
      <rPr>
        <sz val="10"/>
        <color indexed="8"/>
        <rFont val="Helvetica Neue"/>
      </rPr>
      <t>, Similarity: 0.7292, Text: - Amputasy...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</si>
  <si>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0.8244, Text: Amilaz Ned...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 xml:space="preserve">, Similarity: 0.6370, Text: Amiloidoz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https://www.acibadem.com.tr/ilgi-alani/amfizem-nedir/</t>
    </r>
    <r>
      <rPr>
        <sz val="10"/>
        <color indexed="8"/>
        <rFont val="Helvetica Neue"/>
      </rPr>
      <t>, Similarity: 0.6323, Text: - Amfizem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</si>
  <si>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>, Similarity: 0.8244, Text: Amilaz Ned...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</si>
  <si>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 xml:space="preserve">, Similarity: 0.8528, Text: Ameliyatsı...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 xml:space="preserve">, Similarity: 0.6512, Text: Ameliyat 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https://www.acibadem.com.tr/ilgi-alani/albino-nedir/</t>
    </r>
    <r>
      <rPr>
        <sz val="10"/>
        <color indexed="8"/>
        <rFont val="Helvetica Neue"/>
      </rPr>
      <t xml:space="preserve">, Similarity: 0.6182, Text: Bazı durum...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https://www.acibadem.com.tr/ilgi-alani/alport-sendromu-nedir/</t>
    </r>
    <r>
      <rPr>
        <sz val="10"/>
        <color indexed="8"/>
        <rFont val="Helvetica Neue"/>
      </rPr>
      <t xml:space="preserve">, Similarity: 0.5567, Text: Gerekli du...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 xml:space="preserve">, Similarity: 0.5395, Text: Özellikleg...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https://www.acibadem.com.tr/ilgi-alani/anevrizmal-kemik-kisti-nedir-belirtileri/</t>
    </r>
    <r>
      <rPr>
        <sz val="10"/>
        <color indexed="8"/>
        <rFont val="Helvetica Neue"/>
      </rPr>
      <t>, Similarity: 0.5340, Text: Görüntülem...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</si>
  <si>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>, Similarity: 0.8528, Text: Ameliyatsı...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</si>
  <si>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 xml:space="preserve">, Similarity: 0.9379, Text: Amiloidoz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0.6311, Text: Amilaz Tür...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 xml:space="preserve">, Similarity: 0.6127, Text: - Amiloido...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https://www.acibadem.com.tr/ilgi-alani/amfizem-nedir/</t>
    </r>
    <r>
      <rPr>
        <sz val="10"/>
        <color indexed="8"/>
        <rFont val="Helvetica Neue"/>
      </rPr>
      <t xml:space="preserve">, Similarity: 0.5706, Text: - Amfizem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https://www.acibadem.com.tr/ilgi-alani/akut-miyeloid-losemi-aml-nedir/</t>
    </r>
    <r>
      <rPr>
        <sz val="10"/>
        <color indexed="8"/>
        <rFont val="Helvetica Neue"/>
      </rPr>
      <t xml:space="preserve">, Similarity: 0.5310, Text: - Akut Miy...
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</si>
  <si>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>, Similarity: 0.9379, Text: Amiloidoz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</si>
  <si>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https://www.acibadem.com.tr/ilgi-alani/amok-hastaligi-nedir-ani-ofke-patlamalari/</t>
    </r>
    <r>
      <rPr>
        <sz val="10"/>
        <color indexed="8"/>
        <rFont val="Helvetica Neue"/>
      </rPr>
      <t xml:space="preserve">, Similarity: 0.7696, Text: Ani ve Kon...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 xml:space="preserve">, Similarity: 0.6120, Text: Ani hareke...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https://www.acibadem.com.tr/ilgi-alani/akdeniz-atesi-hastaligi/</t>
    </r>
    <r>
      <rPr>
        <sz val="10"/>
        <color indexed="8"/>
        <rFont val="Helvetica Neue"/>
      </rPr>
      <t xml:space="preserve">, Similarity: 0.5640, Text: FMF atağı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0.5463,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0.5281, Text: En korkula...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 xml:space="preserve">, Similarity: 0.5109, Text: Panik bozu...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https://www.acibadem.com.tr/ilgi-alani/akciger-kanamasi-nedir-belirtileri-tedavisi/</t>
    </r>
    <r>
      <rPr>
        <sz val="10"/>
        <color indexed="8"/>
        <rFont val="Helvetica Neue"/>
      </rPr>
      <t xml:space="preserve">, Similarity: 0.5050, Text: Aynı zaman...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https://www.acibadem.com.tr/ilgi-alani/akut-pankreatit/</t>
    </r>
    <r>
      <rPr>
        <sz val="10"/>
        <color indexed="8"/>
        <rFont val="Helvetica Neue"/>
      </rPr>
      <t>, Similarity: 0.5015, Text: Bu tekrar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</si>
  <si>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https://www.acibadem.com.tr/ilgi-alani/amok-hastaligi-nedir-ani-ofke-patlamalari/</t>
    </r>
    <r>
      <rPr>
        <sz val="10"/>
        <color indexed="8"/>
        <rFont val="Helvetica Neue"/>
      </rPr>
      <t>, Similarity: 0.7696, Text: Ani ve Kon...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</si>
  <si>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 xml:space="preserve">, Similarity: 0.8898, Text: Anoreksiya...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 xml:space="preserve">, Similarity: 0.6086, Text: Anosmi Ted...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 xml:space="preserve">, Similarity: 0.5895, Text: Anizokori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 xml:space="preserve">, Similarity: 0.5594, Text: Anksiyete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https://www.acibadem.com.tr/ilgi-alani/anafilaksi/</t>
    </r>
    <r>
      <rPr>
        <sz val="10"/>
        <color indexed="8"/>
        <rFont val="Helvetica Neue"/>
      </rPr>
      <t xml:space="preserve">, Similarity: 0.5393, Text: - Anaflaks...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https://www.acibadem.com.tr/ilgi-alani/aktiif-akne-tedavisi/</t>
    </r>
    <r>
      <rPr>
        <sz val="10"/>
        <color indexed="8"/>
        <rFont val="Helvetica Neue"/>
      </rPr>
      <t xml:space="preserve">, Similarity: 0.5217, Text: Hormonal 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https://www.acibadem.com.tr/ilgi-alani/hemoglobin-hgb/</t>
    </r>
    <r>
      <rPr>
        <sz val="10"/>
        <color indexed="8"/>
        <rFont val="Helvetica Neue"/>
      </rPr>
      <t>, Similarity: 0.5008, Text: Aneminin n...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</si>
  <si>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>, Similarity: 0.8898, Text: Anoreksiya...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</si>
  <si>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 xml:space="preserve">, Similarity: 0.8943, Text: Ankilozan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 xml:space="preserve">, Similarity: 0.5329, Text: - Anizokor...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https://www.acibadem.com.tr/ilgi-alani/anus-nedir-hastaliklari-nelerdir/</t>
    </r>
    <r>
      <rPr>
        <sz val="10"/>
        <color indexed="8"/>
        <rFont val="Helvetica Neue"/>
      </rPr>
      <t xml:space="preserve">, Similarity: 0.5129, Text: Anüs hasta...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https://www.acibadem.com.tr/ilgi-alani/anensefali/</t>
    </r>
    <r>
      <rPr>
        <sz val="10"/>
        <color indexed="8"/>
        <rFont val="Helvetica Neue"/>
      </rPr>
      <t xml:space="preserve">, Similarity: 0.5109, Text: Anensefali...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>, Similarity: 0.5091, Text: - Anosmini...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</si>
  <si>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>, Similarity: 0.8943, Text: Ankilozan 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</si>
  <si>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 xml:space="preserve">, Similarity: 0.9945, Text: Anksiyete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 xml:space="preserve">, Similarity: 0.6915, Text: Yoğun stre...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https://www.acibadem.com.tr/ilgi-alani/magnezyum-nedir-magnezyum-eksikligi-belirtileri/</t>
    </r>
    <r>
      <rPr>
        <sz val="10"/>
        <color indexed="8"/>
        <rFont val="Helvetica Neue"/>
      </rPr>
      <t xml:space="preserve">, Similarity: 0.6475, Text: Sinir sist...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https://www.acibadem.com.tr/ilgi-alani/amino-asit-nedir/</t>
    </r>
    <r>
      <rPr>
        <sz val="10"/>
        <color indexed="8"/>
        <rFont val="Helvetica Neue"/>
      </rPr>
      <t xml:space="preserve">, Similarity: 0.5780, Text: - Stres ve...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https://www.acibadem.com.tr/ilgi-alani/albasti-lohusalik-hummasi-nedir-belirtileri-tedavisi/</t>
    </r>
    <r>
      <rPr>
        <sz val="10"/>
        <color indexed="8"/>
        <rFont val="Helvetica Neue"/>
      </rPr>
      <t xml:space="preserve">, Similarity: 0.5695, Text: Lohusa aşı...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https://www.acibadem.com.tr/ilgi-alani/agrili-cinsel-iliski-disparoni-nedir/</t>
    </r>
    <r>
      <rPr>
        <sz val="10"/>
        <color indexed="8"/>
        <rFont val="Helvetica Neue"/>
      </rPr>
      <t xml:space="preserve">, Similarity: 0.5607, Text: - Duygusal...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https://www.acibadem.com.tr/ilgi-alani/akciger-kanamasi-nedir-belirtileri-tedavisi/</t>
    </r>
    <r>
      <rPr>
        <sz val="10"/>
        <color indexed="8"/>
        <rFont val="Helvetica Neue"/>
      </rPr>
      <t xml:space="preserve">, Similarity: 0.5481, Text: Aynı zaman...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https://www.acibadem.com.tr/ilgi-alani/amok-hastaligi-nedir-ani-ofke-patlamalari/</t>
    </r>
    <r>
      <rPr>
        <sz val="10"/>
        <color indexed="8"/>
        <rFont val="Helvetica Neue"/>
      </rPr>
      <t xml:space="preserve">, Similarity: 0.5420, Text: Bu durum,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 xml:space="preserve">, Similarity: 0.5285, Text: Ancak anor...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https://www.acibadem.com.tr/ilgi-alani/alerji/</t>
    </r>
    <r>
      <rPr>
        <sz val="10"/>
        <color indexed="8"/>
        <rFont val="Helvetica Neue"/>
      </rPr>
      <t xml:space="preserve">, Similarity: 0.5195, Text: Alerji Tür...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https://www.acibadem.com.tr/ilgi-alani/adhd-dehb-nedir-belirtileri-ve-tedavi-yontemleri/</t>
    </r>
    <r>
      <rPr>
        <sz val="10"/>
        <color indexed="8"/>
        <rFont val="Helvetica Neue"/>
      </rPr>
      <t>, Similarity: 0.5079, Text: Ayrıca kay...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</si>
  <si>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0.9945, Text: Anksiyete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</si>
  <si>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https://www.acibadem.com.tr/ilgi-alani/baso-bazofil-nedir-yuksekligi-dusuklugu/</t>
    </r>
    <r>
      <rPr>
        <sz val="10"/>
        <color indexed="8"/>
        <rFont val="Helvetica Neue"/>
      </rPr>
      <t>, Similarity: 0.8356, Text: Bazofil Ha...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</si>
  <si>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https://www.acibadem.com.tr/ilgi-alani/antikor/</t>
    </r>
    <r>
      <rPr>
        <sz val="10"/>
        <color indexed="8"/>
        <rFont val="Helvetica Neue"/>
      </rPr>
      <t xml:space="preserve">, Similarity: 0.8116, Text: Antikor te...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https://www.acibadem.com.tr/ilgi-alani/anafilaksi/</t>
    </r>
    <r>
      <rPr>
        <sz val="10"/>
        <color indexed="8"/>
        <rFont val="Helvetica Neue"/>
      </rPr>
      <t xml:space="preserve">, Similarity: 0.5399, Text: Bunun yanı...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 xml:space="preserve">, Similarity: 0.5273, Text: Görüntülem...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 xml:space="preserve">, Similarity: 0.5253, Text: Anksiyete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https://www.acibadem.com.tr/ilgi-alani/addison-hastaligi/</t>
    </r>
    <r>
      <rPr>
        <sz val="10"/>
        <color indexed="8"/>
        <rFont val="Helvetica Neue"/>
      </rPr>
      <t xml:space="preserve">, Similarity: 0.5244, Text: Kan testle...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>, Similarity: 0.5135, Text: Anizokori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</si>
  <si>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https://www.acibadem.com.tr/ilgi-alani/antikor/</t>
    </r>
    <r>
      <rPr>
        <sz val="10"/>
        <color indexed="8"/>
        <rFont val="Helvetica Neue"/>
      </rPr>
      <t>, Similarity: 0.8116, Text: Antikor te...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</si>
  <si>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 xml:space="preserve">, Similarity: 0.9227, Text: Arı Sokmas...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https://www.acibadem.com.tr/ilgi-alani/aft/</t>
    </r>
    <r>
      <rPr>
        <sz val="10"/>
        <color indexed="8"/>
        <rFont val="Helvetica Neue"/>
      </rPr>
      <t xml:space="preserve">, Similarity: 0.5345, Text: Yaralara 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0.5138, Text: Genellikle...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https://www.acibadem.com.tr/ilgi-alani/amino-asit-nedir/</t>
    </r>
    <r>
      <rPr>
        <sz val="10"/>
        <color indexed="8"/>
        <rFont val="Helvetica Neue"/>
      </rPr>
      <t xml:space="preserve">, Similarity: 0.5107, Text: - Yaraları...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https://www.acibadem.com.tr/acibadem-de/spor-ve-diz-yaralanmalari/</t>
    </r>
    <r>
      <rPr>
        <sz val="10"/>
        <color indexed="8"/>
        <rFont val="Helvetica Neue"/>
      </rPr>
      <t xml:space="preserve">, Similarity: 0.5065, Text: Bu yönteml...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https://www.acibadem.com.tr/ilgi-alani/anafilaksi/</t>
    </r>
    <r>
      <rPr>
        <sz val="10"/>
        <color indexed="8"/>
        <rFont val="Helvetica Neue"/>
      </rPr>
      <t>, Similarity: 0.5020, Text: Insekt Sti...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</si>
  <si>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>, Similarity: 0.9227, Text: Arı Sokmas...</t>
    </r>
  </si>
  <si>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https://www.acibadem.com.tr/ilgi-alani/arrest-nedir-kardiyak-arrest-nedir/</t>
    </r>
    <r>
      <rPr>
        <b val="1"/>
        <sz val="10"/>
        <color indexed="8"/>
        <rFont val="Helvetica Neue"/>
      </rPr>
      <t xml:space="preserve">, Similarity: 0.7316, Text: Kardiyak a...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https://www.acibadem.com.tr/ilgi-alani/amiloidoz-nedir-organlarda-protein-birikimi/</t>
    </r>
    <r>
      <rPr>
        <b val="1"/>
        <sz val="10"/>
        <color indexed="8"/>
        <rFont val="Helvetica Neue"/>
      </rPr>
      <t xml:space="preserve">, Similarity: 0.6213, Text: Kalpte bir...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https://www.acibadem.com.tr/ilgi-alani/aort-kapak-darligi-nedir/</t>
    </r>
    <r>
      <rPr>
        <b val="1"/>
        <sz val="10"/>
        <color indexed="8"/>
        <rFont val="Helvetica Neue"/>
      </rPr>
      <t xml:space="preserve">, Similarity: 0.6144, Text: Bu semptom...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https://www.acibadem.com.tr/ilgi-alani/ablasyon-nedir/</t>
    </r>
    <r>
      <rPr>
        <b val="1"/>
        <sz val="10"/>
        <color indexed="8"/>
        <rFont val="Helvetica Neue"/>
      </rPr>
      <t xml:space="preserve">, Similarity: 0.5965, Text: Hastaya uy...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https://www.acibadem.com.tr/ilgi-alani/albasti-lohusalik-hummasi-nedir-belirtileri-tedavisi/</t>
    </r>
    <r>
      <rPr>
        <b val="1"/>
        <sz val="10"/>
        <color indexed="8"/>
        <rFont val="Helvetica Neue"/>
      </rPr>
      <t xml:space="preserve">, Similarity: 0.5867, Text: - Kalp atı...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https://www.acibadem.com.tr/ilgi-alani/anjina-pektoris-nedir/</t>
    </r>
    <r>
      <rPr>
        <b val="1"/>
        <sz val="10"/>
        <color indexed="8"/>
        <rFont val="Helvetica Neue"/>
      </rPr>
      <t xml:space="preserve">, Similarity: 0.5744, Text: Kalp kasın...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https://www.acibadem.com.tr/ilgi-alani/ameliyat-oncesi-tani/</t>
    </r>
    <r>
      <rPr>
        <b val="1"/>
        <sz val="10"/>
        <color indexed="8"/>
        <rFont val="Helvetica Neue"/>
      </rPr>
      <t xml:space="preserve">, Similarity: 0.5649, Text: Ayrıca tet...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https://www.acibadem.com.tr/ilgi-alani/acik-kalp-ameliyati/</t>
    </r>
    <r>
      <rPr>
        <b val="1"/>
        <sz val="10"/>
        <color indexed="8"/>
        <rFont val="Helvetica Neue"/>
      </rPr>
      <t xml:space="preserve">, Similarity: 0.5434, Text: İstirahatt...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https://www.acibadem.com.tr/ilgi-alani/kol-agrisi-neden-olur/</t>
    </r>
    <r>
      <rPr>
        <b val="1"/>
        <sz val="10"/>
        <color indexed="8"/>
        <rFont val="Helvetica Neue"/>
      </rPr>
      <t xml:space="preserve">, Similarity: 0.5430, Text: Ani başlay...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https://www.acibadem.com.tr/ilgi-alani/anksiyete/</t>
    </r>
    <r>
      <rPr>
        <b val="1"/>
        <sz val="10"/>
        <color indexed="8"/>
        <rFont val="Helvetica Neue"/>
      </rPr>
      <t xml:space="preserve">, Similarity: 0.5394, Text: Bu belirti...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https://www.acibadem.com.tr/ilgi-alani/aldosteron/</t>
    </r>
    <r>
      <rPr>
        <b val="1"/>
        <sz val="10"/>
        <color indexed="8"/>
        <rFont val="Helvetica Neue"/>
      </rPr>
      <t xml:space="preserve">, Similarity: 0.5176, Text: - Kalp çar...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https://www.acibadem.com.tr/ilgi-alani/magnezyum-nedir-magnezyum-eksikligi-belirtileri/</t>
    </r>
    <r>
      <rPr>
        <b val="1"/>
        <sz val="10"/>
        <color indexed="8"/>
        <rFont val="Helvetica Neue"/>
      </rPr>
      <t xml:space="preserve">, Similarity: 0.5174, Text: - Anormal 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https://www.acibadem.com.tr/ilgi-alani/aort-anevrizmasi-nedir/</t>
    </r>
    <r>
      <rPr>
        <b val="1"/>
        <sz val="10"/>
        <color indexed="8"/>
        <rFont val="Helvetica Neue"/>
      </rPr>
      <t xml:space="preserve">, Similarity: 0.5138, Text: - Hızlı ka...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https://www.acibadem.com.tr/ilgi-alani/apandisit-nedir/</t>
    </r>
    <r>
      <rPr>
        <b val="1"/>
        <sz val="10"/>
        <color indexed="8"/>
        <rFont val="Helvetica Neue"/>
      </rPr>
      <t xml:space="preserve">, Similarity: 0.5071, Text: Genellikle...
</t>
    </r>
    <r>
      <rPr>
        <b val="1"/>
        <sz val="10"/>
        <color indexed="8"/>
        <rFont val="Helvetica Neue"/>
      </rPr>
      <t xml:space="preserve">Url: </t>
    </r>
    <r>
      <rPr>
        <b val="1"/>
        <u val="single"/>
        <sz val="10"/>
        <color indexed="8"/>
        <rFont val="Helvetica Neue"/>
      </rPr>
      <t>https://www.acibadem.com.tr/ilgi-alani/alt-solunum-yollari-enfeksiyonu-nedir/</t>
    </r>
    <r>
      <rPr>
        <b val="1"/>
        <sz val="10"/>
        <color indexed="8"/>
        <rFont val="Helvetica Neue"/>
      </rPr>
      <t>, Similarity: 0.5039, Text: Şiddetli d...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</si>
  <si>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>, Similarity: 0.7316, Text: Kardiyak 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</si>
  <si>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0.9137,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0.7442, Text: Aort anevr...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 xml:space="preserve">, Similarity: 0.6261, Text: İltihaplı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https://www.acibadem.com.tr/ilgi-alani/ameliyat-oncesi-tani/</t>
    </r>
    <r>
      <rPr>
        <sz val="10"/>
        <color indexed="8"/>
        <rFont val="Helvetica Neue"/>
      </rPr>
      <t>, Similarity: 0.5062, Text: Bu görüntü...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</si>
  <si>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0.9137,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>, Similarity: 0.7442, Text: Aort anevr...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</si>
  <si>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https://www.acibadem.com.tr/ilgi-alani/albumin/</t>
    </r>
    <r>
      <rPr>
        <sz val="10"/>
        <color indexed="8"/>
        <rFont val="Helvetica Neue"/>
      </rPr>
      <t xml:space="preserve">, Similarity: 0.5905, Text: Böbrek has...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https://www.acibadem.com.tr/ilgi-alani/alport-sendromu-nedir/</t>
    </r>
    <r>
      <rPr>
        <sz val="10"/>
        <color indexed="8"/>
        <rFont val="Helvetica Neue"/>
      </rPr>
      <t xml:space="preserve">, Similarity: 0.5114, Text: Böbreklerd...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https://www.acibadem.com.tr/ilgi-alani/akdeniz-atesi-hastaligi/</t>
    </r>
    <r>
      <rPr>
        <sz val="10"/>
        <color indexed="8"/>
        <rFont val="Helvetica Neue"/>
      </rPr>
      <t>, Similarity: 0.5035, Text: Hastalık 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</si>
  <si>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>, Similarity: 0.5610, Text: Mide bulan...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</si>
  <si>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https://www.acibadem.com.tr/ilgi-alani/akciger-grafisi-nedir/</t>
    </r>
    <r>
      <rPr>
        <sz val="10"/>
        <color indexed="8"/>
        <rFont val="Helvetica Neue"/>
      </rPr>
      <t>, Similarity: 0.5806, Text: Yapay zeka...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</si>
  <si>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 xml:space="preserve">, Similarity: 0.8320, Text: - Yumurtal...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 xml:space="preserve">, Similarity: 0.6761, Text: Beyindeki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 xml:space="preserve">, Similarity: 0.6313, Text: Polikistik...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https://www.acibadem.com.tr/ilgi-alani/anevrizmal-kemik-kisti-nedir-belirtileri/</t>
    </r>
    <r>
      <rPr>
        <sz val="10"/>
        <color indexed="8"/>
        <rFont val="Helvetica Neue"/>
      </rPr>
      <t xml:space="preserve">, Similarity: 0.6287, Text: Özellikle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https://www.acibadem.com.tr/ilgi-alani/akut-pankreatit/</t>
    </r>
    <r>
      <rPr>
        <sz val="10"/>
        <color indexed="8"/>
        <rFont val="Helvetica Neue"/>
      </rPr>
      <t xml:space="preserve">, Similarity: 0.5598, Text: Burada kis...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https://www.acibadem.com.tr/ilgi-alani/adet-duzensizligi/</t>
    </r>
    <r>
      <rPr>
        <sz val="10"/>
        <color indexed="8"/>
        <rFont val="Helvetica Neue"/>
      </rPr>
      <t xml:space="preserve">, Similarity: 0.5329, Text: Jinekoloji...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https://www.acibadem.com.tr/ilgi-alani/albasti-lohusalik-hummasi-nedir-belirtileri-tedavisi/</t>
    </r>
    <r>
      <rPr>
        <sz val="10"/>
        <color indexed="8"/>
        <rFont val="Helvetica Neue"/>
      </rPr>
      <t xml:space="preserve">, Similarity: 0.5235, Text: Rahim, yum...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https://www.acibadem.com.tr/ilgi-alani/agrili-cinsel-iliski-disparoni-nedir/</t>
    </r>
    <r>
      <rPr>
        <sz val="10"/>
        <color indexed="8"/>
        <rFont val="Helvetica Neue"/>
      </rPr>
      <t xml:space="preserve">, Similarity: 0.5108, Text: - Görüntül...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https://www.acibadem.com.tr/ilgi-alani/akciger-nodulleri/</t>
    </r>
    <r>
      <rPr>
        <sz val="10"/>
        <color indexed="8"/>
        <rFont val="Helvetica Neue"/>
      </rPr>
      <t>, Similarity: 0.5016, Text: Birimin Tü...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</si>
  <si>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>, Similarity: 0.8320, Text: - Yumurtal...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</si>
  <si>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0.8298, Text: Kalp Ameli...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0.5856, Text: - Açık Cer...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0.5772,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0.5506, Text: Bu nedenle...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0.5443, Text: Laparoskop...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https://www.acibadem.com.tr/acibadem-de/spor-ve-diz-yaralanmalari/</t>
    </r>
    <r>
      <rPr>
        <sz val="10"/>
        <color indexed="8"/>
        <rFont val="Helvetica Neue"/>
      </rPr>
      <t xml:space="preserve">, Similarity: 0.5322, Text: Bazı durum...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 xml:space="preserve">, Similarity: 0.5078, Text: Bu sayede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https://www.acibadem.com.tr/ilgi-alani/ablasyon-nedir/</t>
    </r>
    <r>
      <rPr>
        <sz val="10"/>
        <color indexed="8"/>
        <rFont val="Helvetica Neue"/>
      </rPr>
      <t>, Similarity: 0.5004, Text: Operasyon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</si>
  <si>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>, Similarity: 0.8298, Text: Kalp Ameli...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</si>
  <si>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 xml:space="preserve">, Similarity: 0.7601, Text: Onkolojik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0.5533, Text: Laparoskop...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https://www.acibadem.com.tr/acibadem-de/spor-ve-diz-yaralanmalari/</t>
    </r>
    <r>
      <rPr>
        <sz val="10"/>
        <color indexed="8"/>
        <rFont val="Helvetica Neue"/>
      </rPr>
      <t xml:space="preserve">, Similarity: 0.5344, Text: Bazı durum...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0.5312, Text: Ameliyat g...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0.5200, Text: Minimal in...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>, Similarity: 0.5111, Text: Bu sayede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</si>
  <si>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>, Similarity: 0.7601, Text: Onkolojik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</si>
  <si>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 xml:space="preserve">, Similarity: 0.7935,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0.5822, Text: Bu durum,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 xml:space="preserve">, Similarity: 0.5681,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>, Similarity: 0.5368, Text: Belirtiler...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</si>
  <si>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>, Similarity: 0.7935, Text: - Mide Bul...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</si>
  <si>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0.7389, Text: Genellikle...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https://www.acibadem.com.tr/ilgi-alani/aft/</t>
    </r>
    <r>
      <rPr>
        <sz val="10"/>
        <color indexed="8"/>
        <rFont val="Helvetica Neue"/>
      </rPr>
      <t xml:space="preserve">, Similarity: 0.6791, Text: Majör olan...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https://www.acibadem.com.tr/ilgi-alani/agiz-kanseri/</t>
    </r>
    <r>
      <rPr>
        <sz val="10"/>
        <color indexed="8"/>
        <rFont val="Helvetica Neue"/>
      </rPr>
      <t>, Similarity: 0.5175, Text: Ağız Kanse...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</si>
  <si>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>, Similarity: 0.7389, Text: Genellikle...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</si>
  <si>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 xml:space="preserve">, Similarity: 0.7199, Text: Regl (adet...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https://www.acibadem.com.tr/ilgi-alani/adet-duzensizligi/</t>
    </r>
    <r>
      <rPr>
        <sz val="10"/>
        <color indexed="8"/>
        <rFont val="Helvetica Neue"/>
      </rPr>
      <t xml:space="preserve">, Similarity: 0.6538, Text: - Bir adet...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0.5552, Text: Yoğun ve U...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https://www.acibadem.com.tr/ilgi-alani/andropoz/</t>
    </r>
    <r>
      <rPr>
        <sz val="10"/>
        <color indexed="8"/>
        <rFont val="Helvetica Neue"/>
      </rPr>
      <t xml:space="preserve">, Similarity: 0.5349, Text: Ancak bunl...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https://www.acibadem.com.tr/ilgi-alani/adet-oncesi-gerginlik-pms/</t>
    </r>
    <r>
      <rPr>
        <sz val="10"/>
        <color indexed="8"/>
        <rFont val="Helvetica Neue"/>
      </rPr>
      <t xml:space="preserve">, Similarity: 0.5091, Text: Adet Önces...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https://www.acibadem.com.tr/ilgi-alani/adenokarsinom/</t>
    </r>
    <r>
      <rPr>
        <sz val="10"/>
        <color indexed="8"/>
        <rFont val="Helvetica Neue"/>
      </rPr>
      <t>, Similarity: 0.5084, Text: Göğüs ağrı...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</si>
  <si>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>, Similarity: 0.7199, Text: Regl (adet...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</si>
  <si>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>, Similarity: 0.6298, Text: ADH (Vazop...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</si>
  <si>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0.7933, Text: Bel fıtığı...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https://www.acibadem.com.tr/ilgi-alani/kol-agrisi-neden-olur/</t>
    </r>
    <r>
      <rPr>
        <sz val="10"/>
        <color indexed="8"/>
        <rFont val="Helvetica Neue"/>
      </rPr>
      <t>, Similarity: 0.5691, Text: Boyun fıtı...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</si>
  <si>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>, Similarity: 0.7933, Text: Bel fıtığı...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</si>
  <si>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https://www.acibadem.com.tr/ilgi-alani/ampute-ne-demek/</t>
    </r>
    <r>
      <rPr>
        <sz val="10"/>
        <color indexed="8"/>
        <rFont val="Helvetica Neue"/>
      </rPr>
      <t>, Similarity: 0.5743, Text: Amputasyon...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</si>
  <si>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0.6443, Text: Bu tür dur...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 xml:space="preserve">, Similarity: 0.6370, Text: Amiloidoz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https://www.acibadem.com.tr/ilgi-alani/amfizem-nedir/</t>
    </r>
    <r>
      <rPr>
        <sz val="10"/>
        <color indexed="8"/>
        <rFont val="Helvetica Neue"/>
      </rPr>
      <t>, Similarity: 0.5480, Text: - Amfizem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</si>
  <si>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 xml:space="preserve">, Similarity: 0.7829, Text: Ameliyatsı...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>, Similarity: 0.6095, Text: - Estetik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</si>
  <si>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>, Similarity: 0.7829, Text: Ameliyatsı...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</si>
  <si>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>, Similarity: 0.8209, Text: Amiloidoz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</si>
  <si>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 xml:space="preserve">, Similarity: 0.8618, Text: Anoreksiya...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 xml:space="preserve">, Similarity: 0.5895, Text: Anizokori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 xml:space="preserve">, Similarity: 0.5789, Text: Anosmi Ted...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 xml:space="preserve">, Similarity: 0.5395, Text: Anksiyete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https://www.acibadem.com.tr/ilgi-alani/aktiif-akne-tedavisi/</t>
    </r>
    <r>
      <rPr>
        <sz val="10"/>
        <color indexed="8"/>
        <rFont val="Helvetica Neue"/>
      </rPr>
      <t>, Similarity: 0.5020, Text: Hormonal 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</si>
  <si>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>, Similarity: 0.8618, Text: Anoreksiya...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</si>
  <si>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 xml:space="preserve">, Similarity: 0.8769, Text: Ankilozan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https://www.acibadem.com.tr/ilgi-alani/anensefali/</t>
    </r>
    <r>
      <rPr>
        <sz val="10"/>
        <color indexed="8"/>
        <rFont val="Helvetica Neue"/>
      </rPr>
      <t>, Similarity: 0.5147, Text: Anensefali...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</si>
  <si>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>, Similarity: 0.8769, Text: Ankilozan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</si>
  <si>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0.7040, Text: Anksiyete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</si>
  <si>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https://www.acibadem.com.tr/ilgi-alani/baso-bazofil-nedir-yuksekligi-dusuklugu/</t>
    </r>
    <r>
      <rPr>
        <sz val="10"/>
        <color indexed="8"/>
        <rFont val="Helvetica Neue"/>
      </rPr>
      <t>, Similarity: 0.8281, Text: Bazofil Ne...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</si>
  <si>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https://www.acibadem.com.tr/ilgi-alani/antikor/</t>
    </r>
    <r>
      <rPr>
        <sz val="10"/>
        <color indexed="8"/>
        <rFont val="Helvetica Neue"/>
      </rPr>
      <t>, Similarity: 0.7756, Text: Antikor te...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</si>
  <si>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>, Similarity: 0.8144, Text: Arı sokmas...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</si>
  <si>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 xml:space="preserve">, Similarity: 0.7300, Text: Arrest bel...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>, Similarity: 0.5046, Text: Aort kapak...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</si>
  <si>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>, Similarity: 0.7300, Text: Arrest bel...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</si>
  <si>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0.8480,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>, Similarity: 0.6558, Text: Aort Anevr...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</si>
  <si>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>, Similarity: 0.8480, Text: Aort kapak...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</si>
  <si>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 xml:space="preserve">, Similarity: 0.5830, Text: Bu işlem,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https://www.acibadem.com.tr/ilgi-alani/akciger-nodulleri/</t>
    </r>
    <r>
      <rPr>
        <sz val="10"/>
        <color indexed="8"/>
        <rFont val="Helvetica Neue"/>
      </rPr>
      <t>, Similarity: 0.5015, Text: Birimin Tü...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</si>
  <si>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0.8231, Text: Kalp Ameli...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0.5788, Text: - Açık Cer...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0.5756,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0.5615, Text: Bu nedenle...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0.5605, Text: Laparoskop...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https://www.acibadem.com.tr/acibadem-de/spor-ve-diz-yaralanmalari/</t>
    </r>
    <r>
      <rPr>
        <sz val="10"/>
        <color indexed="8"/>
        <rFont val="Helvetica Neue"/>
      </rPr>
      <t xml:space="preserve">, Similarity: 0.5528, Text: Bazı durum...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https://www.acibadem.com.tr/ilgi-alani/ablasyon-nedir/</t>
    </r>
    <r>
      <rPr>
        <sz val="10"/>
        <color indexed="8"/>
        <rFont val="Helvetica Neue"/>
      </rPr>
      <t xml:space="preserve">, Similarity: 0.5414, Text: Operasyon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https://www.acibadem.com.tr/ilgi-alani/ameliyat-oncesi-tani/</t>
    </r>
    <r>
      <rPr>
        <sz val="10"/>
        <color indexed="8"/>
        <rFont val="Helvetica Neue"/>
      </rPr>
      <t xml:space="preserve">, Similarity: 0.5185, Text: Birimin Tü...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>, Similarity: 0.5103, Text: Bu sayede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</si>
  <si>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>, Similarity: 0.8231, Text: Kalp Ameli...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</si>
  <si>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 xml:space="preserve">, Similarity: 0.7864, Text: Onkolojik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https://www.acibadem.com.tr/acibadem-de/spor-ve-diz-yaralanmalari/</t>
    </r>
    <r>
      <rPr>
        <sz val="10"/>
        <color indexed="8"/>
        <rFont val="Helvetica Neue"/>
      </rPr>
      <t xml:space="preserve">, Similarity: 0.5673, Text: Bazı durum...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https://www.acibadem.com.tr/acibadem-de/robotik-cerrahi/</t>
    </r>
    <r>
      <rPr>
        <sz val="10"/>
        <color indexed="8"/>
        <rFont val="Helvetica Neue"/>
      </rPr>
      <t xml:space="preserve">, Similarity: 0.5548, Text: Cerrahi Am...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0.5474, Text: Minimal in...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 xml:space="preserve">, Similarity: 0.5416, Text: Kalp Ameli...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https://www.acibadem.com.tr/ilgi-alani/tup-mide-ameliyati-sleeve-gastrektomi/</t>
    </r>
    <r>
      <rPr>
        <sz val="10"/>
        <color indexed="8"/>
        <rFont val="Helvetica Neue"/>
      </rPr>
      <t xml:space="preserve">, Similarity: 0.5285, Text: Laparoskop...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>, Similarity: 0.5173, Text: Apandisit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</si>
  <si>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https://www.acibadem.com.tr/acibadem-de/onkolojik-cerrahi/</t>
    </r>
    <r>
      <rPr>
        <sz val="10"/>
        <color indexed="8"/>
        <rFont val="Helvetica Neue"/>
      </rPr>
      <t>, Similarity: 0.7864, Text: Onkolojik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</si>
  <si>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 xml:space="preserve">, Similarity: 0.7816, Text: - Mide Bul...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0.5774, Text: Bu durum,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https://www.acibadem.com.tr/ilgi-alani/apandisit-nedir/</t>
    </r>
    <r>
      <rPr>
        <sz val="10"/>
        <color indexed="8"/>
        <rFont val="Helvetica Neue"/>
      </rPr>
      <t xml:space="preserve">, Similarity: 0.5369, Text: Belirtiler...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>, Similarity: 0.5249, Text: Belirtiler...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</si>
  <si>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https://www.acibadem.com.tr/ilgi-alani/mide-bulantisi-neden-olur-surekli-mide-bulantisi-nedenleri/</t>
    </r>
    <r>
      <rPr>
        <sz val="10"/>
        <color indexed="8"/>
        <rFont val="Helvetica Neue"/>
      </rPr>
      <t>, Similarity: 0.7816, Text: - Mide Bul...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</si>
  <si>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 xml:space="preserve">, Similarity: 0.7570, Text: Ağız Yaras...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https://www.acibadem.com.tr/ilgi-alani/aft/</t>
    </r>
    <r>
      <rPr>
        <sz val="10"/>
        <color indexed="8"/>
        <rFont val="Helvetica Neue"/>
      </rPr>
      <t xml:space="preserve">, Similarity: 0.6601, Text: Majör olan...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https://www.acibadem.com.tr/ilgi-alani/agiz-kanseri/</t>
    </r>
    <r>
      <rPr>
        <sz val="10"/>
        <color indexed="8"/>
        <rFont val="Helvetica Neue"/>
      </rPr>
      <t>, Similarity: 0.5147, Text: Ağız Kanse...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</si>
  <si>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https://www.acibadem.com.tr/ilgi-alani/agiz-yarasi-nedir-belirtileri-ve-nedenleri/</t>
    </r>
    <r>
      <rPr>
        <sz val="10"/>
        <color indexed="8"/>
        <rFont val="Helvetica Neue"/>
      </rPr>
      <t>, Similarity: 0.7570, Text: Ağız Yaras...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</si>
  <si>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https://www.acibadem.com.tr/ilgi-alani/adet-gecikmesi-nedenleri-regl-gecikmesi-neden-olur/</t>
    </r>
    <r>
      <rPr>
        <sz val="10"/>
        <color indexed="8"/>
        <rFont val="Helvetica Neue"/>
      </rPr>
      <t xml:space="preserve">, Similarity: 0.6970, Text: Regl (adet...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https://www.acibadem.com.tr/ilgi-alani/adet-duzensizligi/</t>
    </r>
    <r>
      <rPr>
        <sz val="10"/>
        <color indexed="8"/>
        <rFont val="Helvetica Neue"/>
      </rPr>
      <t xml:space="preserve">, Similarity: 0.6554, Text: - Bir adet...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https://www.acibadem.com.tr/ilgi-alani/andropoz/</t>
    </r>
    <r>
      <rPr>
        <sz val="10"/>
        <color indexed="8"/>
        <rFont val="Helvetica Neue"/>
      </rPr>
      <t xml:space="preserve">, Similarity: 0.5645, Text: Ancak bunl...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https://www.acibadem.com.tr/ilgi-alani/adet-oncesi-gerginlik-pms/</t>
    </r>
    <r>
      <rPr>
        <sz val="10"/>
        <color indexed="8"/>
        <rFont val="Helvetica Neue"/>
      </rPr>
      <t xml:space="preserve">, Similarity: 0.5419, Text: Adet Önces...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0.5362, Text: Yoğun ve U...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https://www.acibadem.com.tr/ilgi-alani/adenokarsinom/</t>
    </r>
    <r>
      <rPr>
        <sz val="10"/>
        <color indexed="8"/>
        <rFont val="Helvetica Neue"/>
      </rPr>
      <t>, Similarity: 0.5307, Text: Göğüs ağrı...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</si>
  <si>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https://www.acibadem.com.tr/ilgi-alani/adh-vazopressin-nedir/</t>
    </r>
    <r>
      <rPr>
        <sz val="10"/>
        <color indexed="8"/>
        <rFont val="Helvetica Neue"/>
      </rPr>
      <t>, Similarity: 0.6655, Text: ADH (Vazop...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</si>
  <si>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 xml:space="preserve">, Similarity: 0.7970, Text: Bel fıtığı...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https://www.acibadem.com.tr/ilgi-alani/kol-agrisi-neden-olur/</t>
    </r>
    <r>
      <rPr>
        <sz val="10"/>
        <color indexed="8"/>
        <rFont val="Helvetica Neue"/>
      </rPr>
      <t xml:space="preserve">, Similarity: 0.5725, Text: Boyun fıtı...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 xml:space="preserve">, Similarity: 0.5172, Text: Karın veya...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https://www.acibadem.com.tr/ilgi-alani/akondroplazi/</t>
    </r>
    <r>
      <rPr>
        <sz val="10"/>
        <color indexed="8"/>
        <rFont val="Helvetica Neue"/>
      </rPr>
      <t>, Similarity: 0.5024, Text: Omurga Pro...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</si>
  <si>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https://www.acibadem.com.tr/ilgi-alani/bel-fitigi-nedir/</t>
    </r>
    <r>
      <rPr>
        <sz val="10"/>
        <color indexed="8"/>
        <rFont val="Helvetica Neue"/>
      </rPr>
      <t>, Similarity: 0.7970, Text: Bel fıtığı...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</si>
  <si>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https://www.acibadem.com.tr/ilgi-alani/ampute-ne-demek/</t>
    </r>
    <r>
      <rPr>
        <sz val="10"/>
        <color indexed="8"/>
        <rFont val="Helvetica Neue"/>
      </rPr>
      <t>, Similarity: 0.5800, Text: Hastane çı...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</si>
  <si>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https://www.acibadem.com.tr/ilgi-alani/amilaz-nedir/</t>
    </r>
    <r>
      <rPr>
        <sz val="10"/>
        <color indexed="8"/>
        <rFont val="Helvetica Neue"/>
      </rPr>
      <t xml:space="preserve">, Similarity: 0.6585, Text: Amilaz sev...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 xml:space="preserve">, Similarity: 0.6208, Text: Amiloidoz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https://www.acibadem.com.tr/ilgi-alani/amfizem-nedir/</t>
    </r>
    <r>
      <rPr>
        <sz val="10"/>
        <color indexed="8"/>
        <rFont val="Helvetica Neue"/>
      </rPr>
      <t>, Similarity: 0.5121, Text: - Amfizem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</si>
  <si>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 xml:space="preserve">, Similarity: 0.7840, Text: Ameliyatsı...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https://www.acibadem.com.tr/ilgi-alani/akilli-mercek/</t>
    </r>
    <r>
      <rPr>
        <sz val="10"/>
        <color indexed="8"/>
        <rFont val="Helvetica Neue"/>
      </rPr>
      <t xml:space="preserve">, Similarity: 0.6326, Text: - Estetik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https://www.acibadem.com.tr/ilgi-alani/acik-kalp-ameliyati/</t>
    </r>
    <r>
      <rPr>
        <sz val="10"/>
        <color indexed="8"/>
        <rFont val="Helvetica Neue"/>
      </rPr>
      <t>, Similarity: 0.5183, Text: Kalp Kapak...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</si>
  <si>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https://www.acibadem.com.tr/ilgi-alani/ameliyatsiz-goz-kapagi-estetigi/</t>
    </r>
    <r>
      <rPr>
        <sz val="10"/>
        <color indexed="8"/>
        <rFont val="Helvetica Neue"/>
      </rPr>
      <t>, Similarity: 0.7840, Text: Ameliyatsı...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</si>
  <si>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https://www.acibadem.com.tr/ilgi-alani/amiloidoz-nedir-organlarda-protein-birikimi/</t>
    </r>
    <r>
      <rPr>
        <sz val="10"/>
        <color indexed="8"/>
        <rFont val="Helvetica Neue"/>
      </rPr>
      <t>, Similarity: 0.8009, Text: Amiloidoz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</si>
  <si>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 xml:space="preserve">, Similarity: 0.8836, Text: Anoreksiya...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https://www.acibadem.com.tr/ilgi-alani/anosmi-nedir-koku-korlugu-belirtileri/</t>
    </r>
    <r>
      <rPr>
        <sz val="10"/>
        <color indexed="8"/>
        <rFont val="Helvetica Neue"/>
      </rPr>
      <t xml:space="preserve">, Similarity: 0.6230, Text: Anosmi Ted...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https://www.acibadem.com.tr/ilgi-alani/anizokori-nedir-belirtileri/</t>
    </r>
    <r>
      <rPr>
        <sz val="10"/>
        <color indexed="8"/>
        <rFont val="Helvetica Neue"/>
      </rPr>
      <t xml:space="preserve">, Similarity: 0.5837, Text: Anizokori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https://www.acibadem.com.tr/ilgi-alani/aktiif-akne-tedavisi/</t>
    </r>
    <r>
      <rPr>
        <sz val="10"/>
        <color indexed="8"/>
        <rFont val="Helvetica Neue"/>
      </rPr>
      <t xml:space="preserve">, Similarity: 0.5814, Text: Hormonal a...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0.5547, Text: Anksiyete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</si>
  <si>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https://www.acibadem.com.tr/ilgi-alani/anoreksiya-nedir-anoreksiya-nervoza-belirtileri/</t>
    </r>
    <r>
      <rPr>
        <sz val="10"/>
        <color indexed="8"/>
        <rFont val="Helvetica Neue"/>
      </rPr>
      <t>, Similarity: 0.8836, Text: Anoreksiya...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</si>
  <si>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https://www.acibadem.com.tr/ilgi-alani/ankilozan-spondilit/</t>
    </r>
    <r>
      <rPr>
        <sz val="10"/>
        <color indexed="8"/>
        <rFont val="Helvetica Neue"/>
      </rPr>
      <t>, Similarity: 0.8638, Text: Ankilozan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</si>
  <si>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https://www.acibadem.com.tr/ilgi-alani/anksiyete/</t>
    </r>
    <r>
      <rPr>
        <sz val="10"/>
        <color indexed="8"/>
        <rFont val="Helvetica Neue"/>
      </rPr>
      <t>, Similarity: 0.6871, Text: Anksiyete 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</si>
  <si>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https://www.acibadem.com.tr/ilgi-alani/baso-bazofil-nedir-yuksekligi-dusuklugu/</t>
    </r>
    <r>
      <rPr>
        <sz val="10"/>
        <color indexed="8"/>
        <rFont val="Helvetica Neue"/>
      </rPr>
      <t>, Similarity: 0.8370, Text: Bazofil Ne...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</si>
  <si>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https://www.acibadem.com.tr/ilgi-alani/antikor/</t>
    </r>
    <r>
      <rPr>
        <sz val="10"/>
        <color indexed="8"/>
        <rFont val="Helvetica Neue"/>
      </rPr>
      <t>, Similarity: 0.7770, Text: Antikor te...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</si>
  <si>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https://www.acibadem.com.tr/ilgi-alani/ari-sokmasi/</t>
    </r>
    <r>
      <rPr>
        <sz val="10"/>
        <color indexed="8"/>
        <rFont val="Helvetica Neue"/>
      </rPr>
      <t>, Similarity: 0.8326, Text: Arı sokmas...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</si>
  <si>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 xml:space="preserve">, Similarity: 0.7337, Text: Arrest bel…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>, Similarity: 0.5305, Text: Aort kapak...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</si>
  <si>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https://www.acibadem.com.tr/ilgi-alani/arrest-nedir-kardiyak-arrest-nedir/</t>
    </r>
    <r>
      <rPr>
        <sz val="10"/>
        <color indexed="8"/>
        <rFont val="Helvetica Neue"/>
      </rPr>
      <t>, Similarity: 0.7337, Text: Arrest bel...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</si>
  <si>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 xml:space="preserve">, Similarity: 0.8507, Text: Aort kapak...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https://www.acibadem.com.tr/ilgi-alani/aort-anevrizmasi-nedir/</t>
    </r>
    <r>
      <rPr>
        <sz val="10"/>
        <color indexed="8"/>
        <rFont val="Helvetica Neue"/>
      </rPr>
      <t>, Similarity: 0.6604, Text: Aort Anevr...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</si>
  <si>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https://www.acibadem.com.tr/ilgi-alani/aort-kapak-darligi-nedir/</t>
    </r>
    <r>
      <rPr>
        <sz val="10"/>
        <color indexed="8"/>
        <rFont val="Helvetica Neue"/>
      </rPr>
      <t>, Similarity: 0.8507, Text: Aort kapak...</t>
    </r>
  </si>
  <si>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https://www.acibadem.com.tr/ilgi-alani/araknoid-kist/</t>
    </r>
    <r>
      <rPr>
        <sz val="10"/>
        <color indexed="8"/>
        <rFont val="Helvetica Neue"/>
      </rPr>
      <t xml:space="preserve">, Similarity: 0.6045, Text: Bu işlem, 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https://www.acibadem.com.tr/ilgi-alani/adenomyozis-nedir-belirtileri-nelerdir/</t>
    </r>
    <r>
      <rPr>
        <sz val="10"/>
        <color indexed="8"/>
        <rFont val="Helvetica Neue"/>
      </rPr>
      <t xml:space="preserve">, Similarity: 0.5306, Text: Tanısı pel...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https://www.acibadem.com.tr/ilgi-alani/anevrizmal-kemik-kisti-nedir-belirtileri/</t>
    </r>
    <r>
      <rPr>
        <sz val="10"/>
        <color indexed="8"/>
        <rFont val="Helvetica Neue"/>
      </rPr>
      <t xml:space="preserve">, Similarity: 0.5192, Text: Anevrizmal...
</t>
    </r>
    <r>
      <rPr>
        <sz val="10"/>
        <color indexed="8"/>
        <rFont val="Helvetica Neue"/>
      </rPr>
      <t xml:space="preserve">Url: </t>
    </r>
    <r>
      <rPr>
        <u val="single"/>
        <sz val="10"/>
        <color indexed="8"/>
        <rFont val="Helvetica Neue"/>
      </rPr>
      <t>https://www.acibadem.com.tr/ilgi-alani/akciger-nodulleri/</t>
    </r>
    <r>
      <rPr>
        <sz val="10"/>
        <color indexed="8"/>
        <rFont val="Helvetica Neue"/>
      </rPr>
      <t>, Similarity: 0.5122, Text: Birimin Tü...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</si>
</sst>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3"/>
      <color indexed="8"/>
      <name val="Helvetica Neue"/>
    </font>
    <font>
      <u val="single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horizontal="left" vertical="top" wrapText="1" readingOrder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horizontal="lef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cibadem.com.tr/ilgi-alani/acik-kalp-ameliyati/" TargetMode="External"/><Relationship Id="rId2" Type="http://schemas.openxmlformats.org/officeDocument/2006/relationships/hyperlink" Target="https://www.acibadem.com.tr/ilgi-alani/acik-kalp-ameliyati/" TargetMode="External"/><Relationship Id="rId3" Type="http://schemas.openxmlformats.org/officeDocument/2006/relationships/hyperlink" Target="https://www.acibadem.com.tr/ilgi-alani/acik-kalp-ameliyati/" TargetMode="External"/><Relationship Id="rId4" Type="http://schemas.openxmlformats.org/officeDocument/2006/relationships/hyperlink" Target="https://www.acibadem.com.tr/acibadem-de/onkolojik-cerrahi/" TargetMode="External"/><Relationship Id="rId5" Type="http://schemas.openxmlformats.org/officeDocument/2006/relationships/hyperlink" Target="https://www.acibadem.com.tr/acibadem-de/onkolojik-cerrahi/" TargetMode="External"/><Relationship Id="rId6" Type="http://schemas.openxmlformats.org/officeDocument/2006/relationships/hyperlink" Target="https://www.acibadem.com.tr/ilgi-alani/mide-bulantisi-neden-olur-surekli-mide-bulantisi-nedenleri/" TargetMode="External"/><Relationship Id="rId7" Type="http://schemas.openxmlformats.org/officeDocument/2006/relationships/hyperlink" Target="https://www.acibadem.com.tr/ilgi-alani/mide-bulantisi-neden-olur-surekli-mide-bulantisi-nedenleri/" TargetMode="External"/><Relationship Id="rId8" Type="http://schemas.openxmlformats.org/officeDocument/2006/relationships/hyperlink" Target="https://www.acibadem.com.tr/ilgi-alani/mide-bulantisi-neden-olur-surekli-mide-bulantisi-nedenleri/" TargetMode="External"/><Relationship Id="rId9" Type="http://schemas.openxmlformats.org/officeDocument/2006/relationships/hyperlink" Target="https://www.acibadem.com.tr/ilgi-alani/agiz-yarasi-nedir-belirtileri-ve-nedenleri/" TargetMode="External"/><Relationship Id="rId10" Type="http://schemas.openxmlformats.org/officeDocument/2006/relationships/hyperlink" Target="https://www.acibadem.com.tr/ilgi-alani/agiz-yarasi-nedir-belirtileri-ve-nedenleri/" TargetMode="External"/><Relationship Id="rId11" Type="http://schemas.openxmlformats.org/officeDocument/2006/relationships/hyperlink" Target="https://www.acibadem.com.tr/ilgi-alani/agiz-yarasi-nedir-belirtileri-ve-nedenleri/" TargetMode="External"/><Relationship Id="rId12" Type="http://schemas.openxmlformats.org/officeDocument/2006/relationships/hyperlink" Target="https://www.acibadem.com.tr/ilgi-alani/adet-gecikmesi-nedenleri-regl-gecikmesi-neden-olur/" TargetMode="External"/><Relationship Id="rId13" Type="http://schemas.openxmlformats.org/officeDocument/2006/relationships/hyperlink" Target="https://www.acibadem.com.tr/ilgi-alani/adet-gecikmesi-nedenleri-regl-gecikmesi-neden-olur/" TargetMode="External"/><Relationship Id="rId14" Type="http://schemas.openxmlformats.org/officeDocument/2006/relationships/hyperlink" Target="https://www.acibadem.com.tr/ilgi-alani/adh-vazopressin-nedir/" TargetMode="External"/><Relationship Id="rId15" Type="http://schemas.openxmlformats.org/officeDocument/2006/relationships/hyperlink" Target="https://www.acibadem.com.tr/ilgi-alani/adh-vazopressin-nedir/" TargetMode="External"/><Relationship Id="rId16" Type="http://schemas.openxmlformats.org/officeDocument/2006/relationships/hyperlink" Target="https://www.acibadem.com.tr/ilgi-alani/bel-fitigi-nedir/" TargetMode="External"/><Relationship Id="rId17" Type="http://schemas.openxmlformats.org/officeDocument/2006/relationships/hyperlink" Target="https://www.acibadem.com.tr/ilgi-alani/bel-fitigi-nedir/" TargetMode="External"/><Relationship Id="rId18" Type="http://schemas.openxmlformats.org/officeDocument/2006/relationships/hyperlink" Target="https://www.acibadem.com.tr/ilgi-alani/bel-fitigi-nedir/" TargetMode="External"/><Relationship Id="rId19" Type="http://schemas.openxmlformats.org/officeDocument/2006/relationships/hyperlink" Target="https://www.acibadem.com.tr/ilgi-alani/ampute-ne-demek/" TargetMode="External"/><Relationship Id="rId20" Type="http://schemas.openxmlformats.org/officeDocument/2006/relationships/hyperlink" Target="https://www.acibadem.com.tr/ilgi-alani/ampute-ne-demek/" TargetMode="External"/><Relationship Id="rId21" Type="http://schemas.openxmlformats.org/officeDocument/2006/relationships/hyperlink" Target="https://www.acibadem.com.tr/ilgi-alani/amilaz-nedir/" TargetMode="External"/><Relationship Id="rId22" Type="http://schemas.openxmlformats.org/officeDocument/2006/relationships/hyperlink" Target="https://www.acibadem.com.tr/ilgi-alani/amilaz-nedir/" TargetMode="External"/><Relationship Id="rId23" Type="http://schemas.openxmlformats.org/officeDocument/2006/relationships/hyperlink" Target="https://www.acibadem.com.tr/ilgi-alani/ameliyatsiz-goz-kapagi-estetigi/" TargetMode="External"/><Relationship Id="rId24" Type="http://schemas.openxmlformats.org/officeDocument/2006/relationships/hyperlink" Target="https://www.acibadem.com.tr/ilgi-alani/ameliyatsiz-goz-kapagi-estetigi/" TargetMode="External"/><Relationship Id="rId25" Type="http://schemas.openxmlformats.org/officeDocument/2006/relationships/hyperlink" Target="https://www.acibadem.com.tr/ilgi-alani/amiloidoz-nedir-organlarda-protein-birikimi/" TargetMode="External"/><Relationship Id="rId26" Type="http://schemas.openxmlformats.org/officeDocument/2006/relationships/hyperlink" Target="https://www.acibadem.com.tr/ilgi-alani/amiloidoz-nedir-organlarda-protein-birikimi/" TargetMode="External"/><Relationship Id="rId27" Type="http://schemas.openxmlformats.org/officeDocument/2006/relationships/hyperlink" Target="https://www.acibadem.com.tr/ilgi-alani/amok-hastaligi-nedir-ani-ofke-patlamalari/" TargetMode="External"/><Relationship Id="rId28" Type="http://schemas.openxmlformats.org/officeDocument/2006/relationships/hyperlink" Target="https://www.acibadem.com.tr/ilgi-alani/anoreksiya-nedir-anoreksiya-nervoza-belirtileri/" TargetMode="External"/><Relationship Id="rId29" Type="http://schemas.openxmlformats.org/officeDocument/2006/relationships/hyperlink" Target="https://www.acibadem.com.tr/ilgi-alani/anoreksiya-nedir-anoreksiya-nervoza-belirtileri/" TargetMode="External"/><Relationship Id="rId30" Type="http://schemas.openxmlformats.org/officeDocument/2006/relationships/hyperlink" Target="https://www.acibadem.com.tr/ilgi-alani/ankilozan-spondilit/" TargetMode="External"/><Relationship Id="rId31" Type="http://schemas.openxmlformats.org/officeDocument/2006/relationships/hyperlink" Target="https://www.acibadem.com.tr/ilgi-alani/ankilozan-spondilit/" TargetMode="External"/><Relationship Id="rId32" Type="http://schemas.openxmlformats.org/officeDocument/2006/relationships/hyperlink" Target="https://www.acibadem.com.tr/ilgi-alani/ankilozan-spondilit/" TargetMode="External"/><Relationship Id="rId33" Type="http://schemas.openxmlformats.org/officeDocument/2006/relationships/hyperlink" Target="https://www.acibadem.com.tr/ilgi-alani/anksiyete/" TargetMode="External"/><Relationship Id="rId34" Type="http://schemas.openxmlformats.org/officeDocument/2006/relationships/hyperlink" Target="https://www.acibadem.com.tr/ilgi-alani/anksiyete/" TargetMode="External"/><Relationship Id="rId35" Type="http://schemas.openxmlformats.org/officeDocument/2006/relationships/hyperlink" Target="https://www.acibadem.com.tr/ilgi-alani/baso-bazofil-nedir-yuksekligi-dusuklugu/" TargetMode="External"/><Relationship Id="rId36" Type="http://schemas.openxmlformats.org/officeDocument/2006/relationships/hyperlink" Target="https://www.acibadem.com.tr/ilgi-alani/baso-bazofil-nedir-yuksekligi-dusuklugu/" TargetMode="External"/><Relationship Id="rId37" Type="http://schemas.openxmlformats.org/officeDocument/2006/relationships/hyperlink" Target="https://www.acibadem.com.tr/ilgi-alani/antikor/" TargetMode="External"/><Relationship Id="rId38" Type="http://schemas.openxmlformats.org/officeDocument/2006/relationships/hyperlink" Target="https://www.acibadem.com.tr/ilgi-alani/antikor/" TargetMode="External"/><Relationship Id="rId39" Type="http://schemas.openxmlformats.org/officeDocument/2006/relationships/hyperlink" Target="https://www.acibadem.com.tr/ilgi-alani/ari-sokmasi/" TargetMode="External"/><Relationship Id="rId40" Type="http://schemas.openxmlformats.org/officeDocument/2006/relationships/hyperlink" Target="https://www.acibadem.com.tr/ilgi-alani/ari-sokmasi/" TargetMode="External"/><Relationship Id="rId41" Type="http://schemas.openxmlformats.org/officeDocument/2006/relationships/hyperlink" Target="https://www.acibadem.com.tr/ilgi-alani/arrest-nedir-kardiyak-arrest-nedir/" TargetMode="External"/><Relationship Id="rId42" Type="http://schemas.openxmlformats.org/officeDocument/2006/relationships/hyperlink" Target="https://www.acibadem.com.tr/ilgi-alani/arrest-nedir-kardiyak-arrest-nedir/" TargetMode="External"/><Relationship Id="rId43" Type="http://schemas.openxmlformats.org/officeDocument/2006/relationships/hyperlink" Target="https://www.acibadem.com.tr/ilgi-alani/aort-kapak-darligi-nedir/" TargetMode="External"/><Relationship Id="rId44" Type="http://schemas.openxmlformats.org/officeDocument/2006/relationships/hyperlink" Target="https://www.acibadem.com.tr/ilgi-alani/aort-kapak-darligi-nedir/" TargetMode="External"/><Relationship Id="rId45" Type="http://schemas.openxmlformats.org/officeDocument/2006/relationships/hyperlink" Target="https://www.acibadem.com.tr/ilgi-alani/aort-kapak-darligi-nedir/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cibadem.com.tr/ilgi-alani/acik-kalp-ameliyati/" TargetMode="External"/><Relationship Id="rId2" Type="http://schemas.openxmlformats.org/officeDocument/2006/relationships/hyperlink" Target="https://www.acibadem.com.tr/ilgi-alani/acik-kalp-ameliyati/" TargetMode="External"/><Relationship Id="rId3" Type="http://schemas.openxmlformats.org/officeDocument/2006/relationships/hyperlink" Target="https://www.acibadem.com.tr/ilgi-alani/acik-kalp-ameliyati/" TargetMode="External"/><Relationship Id="rId4" Type="http://schemas.openxmlformats.org/officeDocument/2006/relationships/hyperlink" Target="https://www.acibadem.com.tr/acibadem-de/onkolojik-cerrahi/" TargetMode="External"/><Relationship Id="rId5" Type="http://schemas.openxmlformats.org/officeDocument/2006/relationships/hyperlink" Target="https://www.acibadem.com.tr/acibadem-de/onkolojik-cerrahi/" TargetMode="External"/><Relationship Id="rId6" Type="http://schemas.openxmlformats.org/officeDocument/2006/relationships/hyperlink" Target="https://www.acibadem.com.tr/ilgi-alani/mide-bulantisi-neden-olur-surekli-mide-bulantisi-nedenleri/" TargetMode="External"/><Relationship Id="rId7" Type="http://schemas.openxmlformats.org/officeDocument/2006/relationships/hyperlink" Target="https://www.acibadem.com.tr/ilgi-alani/mide-bulantisi-neden-olur-surekli-mide-bulantisi-nedenleri/" TargetMode="External"/><Relationship Id="rId8" Type="http://schemas.openxmlformats.org/officeDocument/2006/relationships/hyperlink" Target="https://www.acibadem.com.tr/ilgi-alani/mide-bulantisi-neden-olur-surekli-mide-bulantisi-nedenleri/" TargetMode="External"/><Relationship Id="rId9" Type="http://schemas.openxmlformats.org/officeDocument/2006/relationships/hyperlink" Target="https://www.acibadem.com.tr/ilgi-alani/agiz-yarasi-nedir-belirtileri-ve-nedenleri/" TargetMode="External"/><Relationship Id="rId10" Type="http://schemas.openxmlformats.org/officeDocument/2006/relationships/hyperlink" Target="https://www.acibadem.com.tr/ilgi-alani/agiz-yarasi-nedir-belirtileri-ve-nedenleri/" TargetMode="External"/><Relationship Id="rId11" Type="http://schemas.openxmlformats.org/officeDocument/2006/relationships/hyperlink" Target="https://www.acibadem.com.tr/ilgi-alani/agiz-yarasi-nedir-belirtileri-ve-nedenleri/" TargetMode="External"/><Relationship Id="rId12" Type="http://schemas.openxmlformats.org/officeDocument/2006/relationships/hyperlink" Target="https://www.acibadem.com.tr/ilgi-alani/adet-gecikmesi-nedenleri-regl-gecikmesi-neden-olur/" TargetMode="External"/><Relationship Id="rId13" Type="http://schemas.openxmlformats.org/officeDocument/2006/relationships/hyperlink" Target="https://www.acibadem.com.tr/ilgi-alani/adet-gecikmesi-nedenleri-regl-gecikmesi-neden-olur/" TargetMode="External"/><Relationship Id="rId14" Type="http://schemas.openxmlformats.org/officeDocument/2006/relationships/hyperlink" Target="https://www.acibadem.com.tr/ilgi-alani/adh-vazopressin-nedir/" TargetMode="External"/><Relationship Id="rId15" Type="http://schemas.openxmlformats.org/officeDocument/2006/relationships/hyperlink" Target="https://www.acibadem.com.tr/ilgi-alani/adh-vazopressin-nedir/" TargetMode="External"/><Relationship Id="rId16" Type="http://schemas.openxmlformats.org/officeDocument/2006/relationships/hyperlink" Target="https://www.acibadem.com.tr/ilgi-alani/bel-fitigi-nedir/" TargetMode="External"/><Relationship Id="rId17" Type="http://schemas.openxmlformats.org/officeDocument/2006/relationships/hyperlink" Target="https://www.acibadem.com.tr/ilgi-alani/bel-fitigi-nedir/" TargetMode="External"/><Relationship Id="rId18" Type="http://schemas.openxmlformats.org/officeDocument/2006/relationships/hyperlink" Target="https://www.acibadem.com.tr/ilgi-alani/bel-fitigi-nedir/" TargetMode="External"/><Relationship Id="rId19" Type="http://schemas.openxmlformats.org/officeDocument/2006/relationships/hyperlink" Target="https://www.acibadem.com.tr/ilgi-alani/ampute-ne-demek/" TargetMode="External"/><Relationship Id="rId20" Type="http://schemas.openxmlformats.org/officeDocument/2006/relationships/hyperlink" Target="https://www.acibadem.com.tr/ilgi-alani/ampute-ne-demek/" TargetMode="External"/><Relationship Id="rId21" Type="http://schemas.openxmlformats.org/officeDocument/2006/relationships/hyperlink" Target="https://www.acibadem.com.tr/ilgi-alani/amilaz-nedir/" TargetMode="External"/><Relationship Id="rId22" Type="http://schemas.openxmlformats.org/officeDocument/2006/relationships/hyperlink" Target="https://www.acibadem.com.tr/ilgi-alani/amilaz-nedir/" TargetMode="External"/><Relationship Id="rId23" Type="http://schemas.openxmlformats.org/officeDocument/2006/relationships/hyperlink" Target="https://www.acibadem.com.tr/ilgi-alani/ameliyatsiz-goz-kapagi-estetigi/" TargetMode="External"/><Relationship Id="rId24" Type="http://schemas.openxmlformats.org/officeDocument/2006/relationships/hyperlink" Target="https://www.acibadem.com.tr/ilgi-alani/ameliyatsiz-goz-kapagi-estetigi/" TargetMode="External"/><Relationship Id="rId25" Type="http://schemas.openxmlformats.org/officeDocument/2006/relationships/hyperlink" Target="https://www.acibadem.com.tr/ilgi-alani/amiloidoz-nedir-organlarda-protein-birikimi/" TargetMode="External"/><Relationship Id="rId26" Type="http://schemas.openxmlformats.org/officeDocument/2006/relationships/hyperlink" Target="https://www.acibadem.com.tr/ilgi-alani/amiloidoz-nedir-organlarda-protein-birikimi/" TargetMode="External"/><Relationship Id="rId27" Type="http://schemas.openxmlformats.org/officeDocument/2006/relationships/hyperlink" Target="https://www.acibadem.com.tr/ilgi-alani/amok-hastaligi-nedir-ani-ofke-patlamalari/" TargetMode="External"/><Relationship Id="rId28" Type="http://schemas.openxmlformats.org/officeDocument/2006/relationships/hyperlink" Target="https://www.acibadem.com.tr/ilgi-alani/anoreksiya-nedir-anoreksiya-nervoza-belirtileri/" TargetMode="External"/><Relationship Id="rId29" Type="http://schemas.openxmlformats.org/officeDocument/2006/relationships/hyperlink" Target="https://www.acibadem.com.tr/ilgi-alani/anoreksiya-nedir-anoreksiya-nervoza-belirtileri/" TargetMode="External"/><Relationship Id="rId30" Type="http://schemas.openxmlformats.org/officeDocument/2006/relationships/hyperlink" Target="https://www.acibadem.com.tr/ilgi-alani/ankilozan-spondilit/" TargetMode="External"/><Relationship Id="rId31" Type="http://schemas.openxmlformats.org/officeDocument/2006/relationships/hyperlink" Target="https://www.acibadem.com.tr/ilgi-alani/ankilozan-spondilit/" TargetMode="External"/><Relationship Id="rId32" Type="http://schemas.openxmlformats.org/officeDocument/2006/relationships/hyperlink" Target="https://www.acibadem.com.tr/ilgi-alani/ankilozan-spondilit/" TargetMode="External"/><Relationship Id="rId33" Type="http://schemas.openxmlformats.org/officeDocument/2006/relationships/hyperlink" Target="https://www.acibadem.com.tr/ilgi-alani/anksiyete/" TargetMode="External"/><Relationship Id="rId34" Type="http://schemas.openxmlformats.org/officeDocument/2006/relationships/hyperlink" Target="https://www.acibadem.com.tr/ilgi-alani/anksiyete/" TargetMode="External"/><Relationship Id="rId35" Type="http://schemas.openxmlformats.org/officeDocument/2006/relationships/hyperlink" Target="https://www.acibadem.com.tr/ilgi-alani/baso-bazofil-nedir-yuksekligi-dusuklugu/" TargetMode="External"/><Relationship Id="rId36" Type="http://schemas.openxmlformats.org/officeDocument/2006/relationships/hyperlink" Target="https://www.acibadem.com.tr/ilgi-alani/baso-bazofil-nedir-yuksekligi-dusuklugu/" TargetMode="External"/><Relationship Id="rId37" Type="http://schemas.openxmlformats.org/officeDocument/2006/relationships/hyperlink" Target="https://www.acibadem.com.tr/ilgi-alani/antikor/" TargetMode="External"/><Relationship Id="rId38" Type="http://schemas.openxmlformats.org/officeDocument/2006/relationships/hyperlink" Target="https://www.acibadem.com.tr/ilgi-alani/antikor/" TargetMode="External"/><Relationship Id="rId39" Type="http://schemas.openxmlformats.org/officeDocument/2006/relationships/hyperlink" Target="https://www.acibadem.com.tr/ilgi-alani/ari-sokmasi/" TargetMode="External"/><Relationship Id="rId40" Type="http://schemas.openxmlformats.org/officeDocument/2006/relationships/hyperlink" Target="https://www.acibadem.com.tr/ilgi-alani/ari-sokmasi/" TargetMode="External"/><Relationship Id="rId41" Type="http://schemas.openxmlformats.org/officeDocument/2006/relationships/hyperlink" Target="https://www.acibadem.com.tr/ilgi-alani/arrest-nedir-kardiyak-arrest-nedir/" TargetMode="External"/><Relationship Id="rId42" Type="http://schemas.openxmlformats.org/officeDocument/2006/relationships/hyperlink" Target="https://www.acibadem.com.tr/ilgi-alani/arrest-nedir-kardiyak-arrest-nedir/" TargetMode="External"/><Relationship Id="rId43" Type="http://schemas.openxmlformats.org/officeDocument/2006/relationships/hyperlink" Target="https://www.acibadem.com.tr/ilgi-alani/aort-kapak-darligi-nedir/" TargetMode="External"/><Relationship Id="rId44" Type="http://schemas.openxmlformats.org/officeDocument/2006/relationships/hyperlink" Target="https://www.acibadem.com.tr/ilgi-alani/aort-kapak-darligi-nedir/" TargetMode="External"/><Relationship Id="rId45" Type="http://schemas.openxmlformats.org/officeDocument/2006/relationships/hyperlink" Target="https://www.acibadem.com.tr/ilgi-alani/aort-kapak-darligi-nedir/" TargetMode="External"/><Relationship Id="rId46" Type="http://schemas.openxmlformats.org/officeDocument/2006/relationships/hyperlink" Target="https://www.acibadem.com.tr/ilgi-alani/araknoid-kist/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cibadem.com.tr/ilgi-alani/acik-kalp-ameliyati/" TargetMode="External"/><Relationship Id="rId2" Type="http://schemas.openxmlformats.org/officeDocument/2006/relationships/hyperlink" Target="https://www.acibadem.com.tr/ilgi-alani/acik-kalp-ameliyati/" TargetMode="External"/><Relationship Id="rId3" Type="http://schemas.openxmlformats.org/officeDocument/2006/relationships/hyperlink" Target="https://www.acibadem.com.tr/ilgi-alani/acik-kalp-ameliyati/" TargetMode="External"/><Relationship Id="rId4" Type="http://schemas.openxmlformats.org/officeDocument/2006/relationships/hyperlink" Target="https://www.acibadem.com.tr/acibadem-de/onkolojik-cerrahi/" TargetMode="External"/><Relationship Id="rId5" Type="http://schemas.openxmlformats.org/officeDocument/2006/relationships/hyperlink" Target="https://www.acibadem.com.tr/acibadem-de/onkolojik-cerrahi/" TargetMode="External"/><Relationship Id="rId6" Type="http://schemas.openxmlformats.org/officeDocument/2006/relationships/hyperlink" Target="https://www.acibadem.com.tr/acibadem-de/onkolojik-cerrahi/" TargetMode="External"/><Relationship Id="rId7" Type="http://schemas.openxmlformats.org/officeDocument/2006/relationships/hyperlink" Target="https://www.acibadem.com.tr/ilgi-alani/mide-bulantisi-neden-olur-surekli-mide-bulantisi-nedenleri/" TargetMode="External"/><Relationship Id="rId8" Type="http://schemas.openxmlformats.org/officeDocument/2006/relationships/hyperlink" Target="https://www.acibadem.com.tr/ilgi-alani/mide-bulantisi-neden-olur-surekli-mide-bulantisi-nedenleri/" TargetMode="External"/><Relationship Id="rId9" Type="http://schemas.openxmlformats.org/officeDocument/2006/relationships/hyperlink" Target="https://www.acibadem.com.tr/ilgi-alani/mide-bulantisi-neden-olur-surekli-mide-bulantisi-nedenleri/" TargetMode="External"/><Relationship Id="rId10" Type="http://schemas.openxmlformats.org/officeDocument/2006/relationships/hyperlink" Target="https://www.acibadem.com.tr/ilgi-alani/agiz-yarasi-nedir-belirtileri-ve-nedenleri/" TargetMode="External"/><Relationship Id="rId11" Type="http://schemas.openxmlformats.org/officeDocument/2006/relationships/hyperlink" Target="https://www.acibadem.com.tr/ilgi-alani/agiz-yarasi-nedir-belirtileri-ve-nedenleri/" TargetMode="External"/><Relationship Id="rId12" Type="http://schemas.openxmlformats.org/officeDocument/2006/relationships/hyperlink" Target="https://www.acibadem.com.tr/ilgi-alani/agiz-yarasi-nedir-belirtileri-ve-nedenleri/" TargetMode="External"/><Relationship Id="rId13" Type="http://schemas.openxmlformats.org/officeDocument/2006/relationships/hyperlink" Target="https://www.acibadem.com.tr/ilgi-alani/adet-gecikmesi-nedenleri-regl-gecikmesi-neden-olur/" TargetMode="External"/><Relationship Id="rId14" Type="http://schemas.openxmlformats.org/officeDocument/2006/relationships/hyperlink" Target="https://www.acibadem.com.tr/ilgi-alani/adet-gecikmesi-nedenleri-regl-gecikmesi-neden-olur/" TargetMode="External"/><Relationship Id="rId15" Type="http://schemas.openxmlformats.org/officeDocument/2006/relationships/hyperlink" Target="https://www.acibadem.com.tr/ilgi-alani/adet-gecikmesi-nedenleri-regl-gecikmesi-neden-olur/" TargetMode="External"/><Relationship Id="rId16" Type="http://schemas.openxmlformats.org/officeDocument/2006/relationships/hyperlink" Target="https://www.acibadem.com.tr/ilgi-alani/adh-vazopressin-nedir/" TargetMode="External"/><Relationship Id="rId17" Type="http://schemas.openxmlformats.org/officeDocument/2006/relationships/hyperlink" Target="https://www.acibadem.com.tr/ilgi-alani/adh-vazopressin-nedir/" TargetMode="External"/><Relationship Id="rId18" Type="http://schemas.openxmlformats.org/officeDocument/2006/relationships/hyperlink" Target="https://www.acibadem.com.tr/ilgi-alani/bel-fitigi-nedir/" TargetMode="External"/><Relationship Id="rId19" Type="http://schemas.openxmlformats.org/officeDocument/2006/relationships/hyperlink" Target="https://www.acibadem.com.tr/ilgi-alani/bel-fitigi-nedir/" TargetMode="External"/><Relationship Id="rId20" Type="http://schemas.openxmlformats.org/officeDocument/2006/relationships/hyperlink" Target="https://www.acibadem.com.tr/ilgi-alani/bel-fitigi-nedir/" TargetMode="External"/><Relationship Id="rId21" Type="http://schemas.openxmlformats.org/officeDocument/2006/relationships/hyperlink" Target="https://www.acibadem.com.tr/ilgi-alani/ampute-ne-demek/" TargetMode="External"/><Relationship Id="rId22" Type="http://schemas.openxmlformats.org/officeDocument/2006/relationships/hyperlink" Target="https://www.acibadem.com.tr/ilgi-alani/ampute-ne-demek/" TargetMode="External"/><Relationship Id="rId23" Type="http://schemas.openxmlformats.org/officeDocument/2006/relationships/hyperlink" Target="https://www.acibadem.com.tr/ilgi-alani/ampute-ne-demek/" TargetMode="External"/><Relationship Id="rId24" Type="http://schemas.openxmlformats.org/officeDocument/2006/relationships/hyperlink" Target="https://www.acibadem.com.tr/ilgi-alani/amilaz-nedir/" TargetMode="External"/><Relationship Id="rId25" Type="http://schemas.openxmlformats.org/officeDocument/2006/relationships/hyperlink" Target="https://www.acibadem.com.tr/ilgi-alani/amilaz-nedir/" TargetMode="External"/><Relationship Id="rId26" Type="http://schemas.openxmlformats.org/officeDocument/2006/relationships/hyperlink" Target="https://www.acibadem.com.tr/ilgi-alani/amilaz-nedir/" TargetMode="External"/><Relationship Id="rId27" Type="http://schemas.openxmlformats.org/officeDocument/2006/relationships/hyperlink" Target="https://www.acibadem.com.tr/ilgi-alani/ameliyatsiz-goz-kapagi-estetigi/" TargetMode="External"/><Relationship Id="rId28" Type="http://schemas.openxmlformats.org/officeDocument/2006/relationships/hyperlink" Target="https://www.acibadem.com.tr/ilgi-alani/ameliyatsiz-goz-kapagi-estetigi/" TargetMode="External"/><Relationship Id="rId29" Type="http://schemas.openxmlformats.org/officeDocument/2006/relationships/hyperlink" Target="https://www.acibadem.com.tr/ilgi-alani/ameliyatsiz-goz-kapagi-estetigi/" TargetMode="External"/><Relationship Id="rId30" Type="http://schemas.openxmlformats.org/officeDocument/2006/relationships/hyperlink" Target="https://www.acibadem.com.tr/ilgi-alani/amiloidoz-nedir-organlarda-protein-birikimi/" TargetMode="External"/><Relationship Id="rId31" Type="http://schemas.openxmlformats.org/officeDocument/2006/relationships/hyperlink" Target="https://www.acibadem.com.tr/ilgi-alani/amiloidoz-nedir-organlarda-protein-birikimi/" TargetMode="External"/><Relationship Id="rId32" Type="http://schemas.openxmlformats.org/officeDocument/2006/relationships/hyperlink" Target="https://www.acibadem.com.tr/ilgi-alani/amiloidoz-nedir-organlarda-protein-birikimi/" TargetMode="External"/><Relationship Id="rId33" Type="http://schemas.openxmlformats.org/officeDocument/2006/relationships/hyperlink" Target="https://www.acibadem.com.tr/ilgi-alani/amok-hastaligi-nedir-ani-ofke-patlamalari/" TargetMode="External"/><Relationship Id="rId34" Type="http://schemas.openxmlformats.org/officeDocument/2006/relationships/hyperlink" Target="https://www.acibadem.com.tr/ilgi-alani/amok-hastaligi-nedir-ani-ofke-patlamalari/" TargetMode="External"/><Relationship Id="rId35" Type="http://schemas.openxmlformats.org/officeDocument/2006/relationships/hyperlink" Target="https://www.acibadem.com.tr/ilgi-alani/amok-hastaligi-nedir-ani-ofke-patlamalari/" TargetMode="External"/><Relationship Id="rId36" Type="http://schemas.openxmlformats.org/officeDocument/2006/relationships/hyperlink" Target="https://www.acibadem.com.tr/ilgi-alani/anoreksiya-nedir-anoreksiya-nervoza-belirtileri/" TargetMode="External"/><Relationship Id="rId37" Type="http://schemas.openxmlformats.org/officeDocument/2006/relationships/hyperlink" Target="https://www.acibadem.com.tr/ilgi-alani/anoreksiya-nedir-anoreksiya-nervoza-belirtileri/" TargetMode="External"/><Relationship Id="rId38" Type="http://schemas.openxmlformats.org/officeDocument/2006/relationships/hyperlink" Target="https://www.acibadem.com.tr/ilgi-alani/anoreksiya-nedir-anoreksiya-nervoza-belirtileri/" TargetMode="External"/><Relationship Id="rId39" Type="http://schemas.openxmlformats.org/officeDocument/2006/relationships/hyperlink" Target="https://www.acibadem.com.tr/ilgi-alani/ankilozan-spondilit/" TargetMode="External"/><Relationship Id="rId40" Type="http://schemas.openxmlformats.org/officeDocument/2006/relationships/hyperlink" Target="https://www.acibadem.com.tr/ilgi-alani/ankilozan-spondilit/" TargetMode="External"/><Relationship Id="rId41" Type="http://schemas.openxmlformats.org/officeDocument/2006/relationships/hyperlink" Target="https://www.acibadem.com.tr/ilgi-alani/ankilozan-spondilit/" TargetMode="External"/><Relationship Id="rId42" Type="http://schemas.openxmlformats.org/officeDocument/2006/relationships/hyperlink" Target="https://www.acibadem.com.tr/ilgi-alani/anksiyete/" TargetMode="External"/><Relationship Id="rId43" Type="http://schemas.openxmlformats.org/officeDocument/2006/relationships/hyperlink" Target="https://www.acibadem.com.tr/ilgi-alani/anksiyete/" TargetMode="External"/><Relationship Id="rId44" Type="http://schemas.openxmlformats.org/officeDocument/2006/relationships/hyperlink" Target="https://www.acibadem.com.tr/ilgi-alani/anksiyete/" TargetMode="External"/><Relationship Id="rId45" Type="http://schemas.openxmlformats.org/officeDocument/2006/relationships/hyperlink" Target="https://www.acibadem.com.tr/ilgi-alani/baso-bazofil-nedir-yuksekligi-dusuklugu/" TargetMode="External"/><Relationship Id="rId46" Type="http://schemas.openxmlformats.org/officeDocument/2006/relationships/hyperlink" Target="https://www.acibadem.com.tr/ilgi-alani/baso-bazofil-nedir-yuksekligi-dusuklugu/" TargetMode="External"/><Relationship Id="rId47" Type="http://schemas.openxmlformats.org/officeDocument/2006/relationships/hyperlink" Target="https://www.acibadem.com.tr/ilgi-alani/baso-bazofil-nedir-yuksekligi-dusuklugu/" TargetMode="External"/><Relationship Id="rId48" Type="http://schemas.openxmlformats.org/officeDocument/2006/relationships/hyperlink" Target="https://www.acibadem.com.tr/ilgi-alani/antikor/" TargetMode="External"/><Relationship Id="rId49" Type="http://schemas.openxmlformats.org/officeDocument/2006/relationships/hyperlink" Target="https://www.acibadem.com.tr/ilgi-alani/antikor/" TargetMode="External"/><Relationship Id="rId50" Type="http://schemas.openxmlformats.org/officeDocument/2006/relationships/hyperlink" Target="https://www.acibadem.com.tr/ilgi-alani/antikor/" TargetMode="External"/><Relationship Id="rId51" Type="http://schemas.openxmlformats.org/officeDocument/2006/relationships/hyperlink" Target="https://www.acibadem.com.tr/ilgi-alani/ari-sokmasi/" TargetMode="External"/><Relationship Id="rId52" Type="http://schemas.openxmlformats.org/officeDocument/2006/relationships/hyperlink" Target="https://www.acibadem.com.tr/ilgi-alani/ari-sokmasi/" TargetMode="External"/><Relationship Id="rId53" Type="http://schemas.openxmlformats.org/officeDocument/2006/relationships/hyperlink" Target="https://www.acibadem.com.tr/ilgi-alani/ari-sokmasi/" TargetMode="External"/><Relationship Id="rId54" Type="http://schemas.openxmlformats.org/officeDocument/2006/relationships/hyperlink" Target="https://www.acibadem.com.tr/ilgi-alani/arrest-nedir-kardiyak-arrest-nedir/" TargetMode="External"/><Relationship Id="rId55" Type="http://schemas.openxmlformats.org/officeDocument/2006/relationships/hyperlink" Target="https://www.acibadem.com.tr/ilgi-alani/arrest-nedir-kardiyak-arrest-nedir/" TargetMode="External"/><Relationship Id="rId56" Type="http://schemas.openxmlformats.org/officeDocument/2006/relationships/hyperlink" Target="https://www.acibadem.com.tr/ilgi-alani/arrest-nedir-kardiyak-arrest-nedir/" TargetMode="External"/><Relationship Id="rId57" Type="http://schemas.openxmlformats.org/officeDocument/2006/relationships/hyperlink" Target="https://www.acibadem.com.tr/ilgi-alani/aort-kapak-darligi-nedir/" TargetMode="External"/><Relationship Id="rId58" Type="http://schemas.openxmlformats.org/officeDocument/2006/relationships/hyperlink" Target="https://www.acibadem.com.tr/ilgi-alani/aort-kapak-darligi-nedir/" TargetMode="External"/><Relationship Id="rId59" Type="http://schemas.openxmlformats.org/officeDocument/2006/relationships/hyperlink" Target="https://www.acibadem.com.tr/ilgi-alani/aort-kapak-darligi-nedir/" TargetMode="External"/><Relationship Id="rId60" Type="http://schemas.openxmlformats.org/officeDocument/2006/relationships/hyperlink" Target="https://www.acibadem.com.tr/ilgi-alani/albumin/" TargetMode="External"/><Relationship Id="rId61" Type="http://schemas.openxmlformats.org/officeDocument/2006/relationships/hyperlink" Target="https://www.acibadem.com.tr/ilgi-alani/mide-bulantisi-neden-olur-surekli-mide-bulantisi-nedenleri/" TargetMode="External"/><Relationship Id="rId62" Type="http://schemas.openxmlformats.org/officeDocument/2006/relationships/hyperlink" Target="https://www.acibadem.com.tr/ilgi-alani/akciger-grafisi-nedir/" TargetMode="External"/><Relationship Id="rId63" Type="http://schemas.openxmlformats.org/officeDocument/2006/relationships/hyperlink" Target="https://www.acibadem.com.tr/acibadem-de/robotik-cerrahi/" TargetMode="External"/><Relationship Id="rId64" Type="http://schemas.openxmlformats.org/officeDocument/2006/relationships/hyperlink" Target="https://www.acibadem.com.tr/acibadem-de/robotik-cerrahi/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cibadem.com.tr/ilgi-alani/acik-kalp-ameliyati/" TargetMode="External"/><Relationship Id="rId2" Type="http://schemas.openxmlformats.org/officeDocument/2006/relationships/hyperlink" Target="https://www.acibadem.com.tr/ilgi-alani/acik-kalp-ameliyati/" TargetMode="External"/><Relationship Id="rId3" Type="http://schemas.openxmlformats.org/officeDocument/2006/relationships/hyperlink" Target="https://www.acibadem.com.tr/ilgi-alani/acik-kalp-ameliyati/" TargetMode="External"/><Relationship Id="rId4" Type="http://schemas.openxmlformats.org/officeDocument/2006/relationships/hyperlink" Target="https://www.acibadem.com.tr/acibadem-de/onkolojik-cerrahi/" TargetMode="External"/><Relationship Id="rId5" Type="http://schemas.openxmlformats.org/officeDocument/2006/relationships/hyperlink" Target="https://www.acibadem.com.tr/acibadem-de/onkolojik-cerrahi/" TargetMode="External"/><Relationship Id="rId6" Type="http://schemas.openxmlformats.org/officeDocument/2006/relationships/hyperlink" Target="https://www.acibadem.com.tr/acibadem-de/onkolojik-cerrahi/" TargetMode="External"/><Relationship Id="rId7" Type="http://schemas.openxmlformats.org/officeDocument/2006/relationships/hyperlink" Target="https://www.acibadem.com.tr/ilgi-alani/mide-bulantisi-neden-olur-surekli-mide-bulantisi-nedenleri/" TargetMode="External"/><Relationship Id="rId8" Type="http://schemas.openxmlformats.org/officeDocument/2006/relationships/hyperlink" Target="https://www.acibadem.com.tr/ilgi-alani/mide-bulantisi-neden-olur-surekli-mide-bulantisi-nedenleri/" TargetMode="External"/><Relationship Id="rId9" Type="http://schemas.openxmlformats.org/officeDocument/2006/relationships/hyperlink" Target="https://www.acibadem.com.tr/ilgi-alani/mide-bulantisi-neden-olur-surekli-mide-bulantisi-nedenleri/" TargetMode="External"/><Relationship Id="rId10" Type="http://schemas.openxmlformats.org/officeDocument/2006/relationships/hyperlink" Target="https://www.acibadem.com.tr/ilgi-alani/agiz-yarasi-nedir-belirtileri-ve-nedenleri/" TargetMode="External"/><Relationship Id="rId11" Type="http://schemas.openxmlformats.org/officeDocument/2006/relationships/hyperlink" Target="https://www.acibadem.com.tr/ilgi-alani/agiz-yarasi-nedir-belirtileri-ve-nedenleri/" TargetMode="External"/><Relationship Id="rId12" Type="http://schemas.openxmlformats.org/officeDocument/2006/relationships/hyperlink" Target="https://www.acibadem.com.tr/ilgi-alani/agiz-yarasi-nedir-belirtileri-ve-nedenleri/" TargetMode="External"/><Relationship Id="rId13" Type="http://schemas.openxmlformats.org/officeDocument/2006/relationships/hyperlink" Target="https://www.acibadem.com.tr/ilgi-alani/adet-gecikmesi-nedenleri-regl-gecikmesi-neden-olur/" TargetMode="External"/><Relationship Id="rId14" Type="http://schemas.openxmlformats.org/officeDocument/2006/relationships/hyperlink" Target="https://www.acibadem.com.tr/ilgi-alani/adet-gecikmesi-nedenleri-regl-gecikmesi-neden-olur/" TargetMode="External"/><Relationship Id="rId15" Type="http://schemas.openxmlformats.org/officeDocument/2006/relationships/hyperlink" Target="https://www.acibadem.com.tr/ilgi-alani/adet-gecikmesi-nedenleri-regl-gecikmesi-neden-olur/" TargetMode="External"/><Relationship Id="rId16" Type="http://schemas.openxmlformats.org/officeDocument/2006/relationships/hyperlink" Target="https://www.acibadem.com.tr/ilgi-alani/adh-vazopressin-nedir/" TargetMode="External"/><Relationship Id="rId17" Type="http://schemas.openxmlformats.org/officeDocument/2006/relationships/hyperlink" Target="https://www.acibadem.com.tr/ilgi-alani/adh-vazopressin-nedir/" TargetMode="External"/><Relationship Id="rId18" Type="http://schemas.openxmlformats.org/officeDocument/2006/relationships/hyperlink" Target="https://www.acibadem.com.tr/ilgi-alani/bel-fitigi-nedir/" TargetMode="External"/><Relationship Id="rId19" Type="http://schemas.openxmlformats.org/officeDocument/2006/relationships/hyperlink" Target="https://www.acibadem.com.tr/ilgi-alani/bel-fitigi-nedir/" TargetMode="External"/><Relationship Id="rId20" Type="http://schemas.openxmlformats.org/officeDocument/2006/relationships/hyperlink" Target="https://www.acibadem.com.tr/ilgi-alani/bel-fitigi-nedir/" TargetMode="External"/><Relationship Id="rId21" Type="http://schemas.openxmlformats.org/officeDocument/2006/relationships/hyperlink" Target="https://www.acibadem.com.tr/ilgi-alani/ampute-ne-demek/" TargetMode="External"/><Relationship Id="rId22" Type="http://schemas.openxmlformats.org/officeDocument/2006/relationships/hyperlink" Target="https://www.acibadem.com.tr/ilgi-alani/ampute-ne-demek/" TargetMode="External"/><Relationship Id="rId23" Type="http://schemas.openxmlformats.org/officeDocument/2006/relationships/hyperlink" Target="https://www.acibadem.com.tr/ilgi-alani/amilaz-nedir/" TargetMode="External"/><Relationship Id="rId24" Type="http://schemas.openxmlformats.org/officeDocument/2006/relationships/hyperlink" Target="https://www.acibadem.com.tr/ilgi-alani/amilaz-nedir/" TargetMode="External"/><Relationship Id="rId25" Type="http://schemas.openxmlformats.org/officeDocument/2006/relationships/hyperlink" Target="https://www.acibadem.com.tr/ilgi-alani/ameliyatsiz-goz-kapagi-estetigi/" TargetMode="External"/><Relationship Id="rId26" Type="http://schemas.openxmlformats.org/officeDocument/2006/relationships/hyperlink" Target="https://www.acibadem.com.tr/ilgi-alani/ameliyatsiz-goz-kapagi-estetigi/" TargetMode="External"/><Relationship Id="rId27" Type="http://schemas.openxmlformats.org/officeDocument/2006/relationships/hyperlink" Target="https://www.acibadem.com.tr/ilgi-alani/ameliyatsiz-goz-kapagi-estetigi/" TargetMode="External"/><Relationship Id="rId28" Type="http://schemas.openxmlformats.org/officeDocument/2006/relationships/hyperlink" Target="https://www.acibadem.com.tr/ilgi-alani/amiloidoz-nedir-organlarda-protein-birikimi/" TargetMode="External"/><Relationship Id="rId29" Type="http://schemas.openxmlformats.org/officeDocument/2006/relationships/hyperlink" Target="https://www.acibadem.com.tr/ilgi-alani/amiloidoz-nedir-organlarda-protein-birikimi/" TargetMode="External"/><Relationship Id="rId30" Type="http://schemas.openxmlformats.org/officeDocument/2006/relationships/hyperlink" Target="https://www.acibadem.com.tr/ilgi-alani/amiloidoz-nedir-organlarda-protein-birikimi/" TargetMode="External"/><Relationship Id="rId31" Type="http://schemas.openxmlformats.org/officeDocument/2006/relationships/hyperlink" Target="https://www.acibadem.com.tr/ilgi-alani/amok-hastaligi-nedir-ani-ofke-patlamalari/" TargetMode="External"/><Relationship Id="rId32" Type="http://schemas.openxmlformats.org/officeDocument/2006/relationships/hyperlink" Target="https://www.acibadem.com.tr/ilgi-alani/anoreksiya-nedir-anoreksiya-nervoza-belirtileri/" TargetMode="External"/><Relationship Id="rId33" Type="http://schemas.openxmlformats.org/officeDocument/2006/relationships/hyperlink" Target="https://www.acibadem.com.tr/ilgi-alani/anoreksiya-nedir-anoreksiya-nervoza-belirtileri/" TargetMode="External"/><Relationship Id="rId34" Type="http://schemas.openxmlformats.org/officeDocument/2006/relationships/hyperlink" Target="https://www.acibadem.com.tr/ilgi-alani/anoreksiya-nedir-anoreksiya-nervoza-belirtileri/" TargetMode="External"/><Relationship Id="rId35" Type="http://schemas.openxmlformats.org/officeDocument/2006/relationships/hyperlink" Target="https://www.acibadem.com.tr/ilgi-alani/ankilozan-spondilit/" TargetMode="External"/><Relationship Id="rId36" Type="http://schemas.openxmlformats.org/officeDocument/2006/relationships/hyperlink" Target="https://www.acibadem.com.tr/ilgi-alani/ankilozan-spondilit/" TargetMode="External"/><Relationship Id="rId37" Type="http://schemas.openxmlformats.org/officeDocument/2006/relationships/hyperlink" Target="https://www.acibadem.com.tr/ilgi-alani/ankilozan-spondilit/" TargetMode="External"/><Relationship Id="rId38" Type="http://schemas.openxmlformats.org/officeDocument/2006/relationships/hyperlink" Target="https://www.acibadem.com.tr/ilgi-alani/anksiyete/" TargetMode="External"/><Relationship Id="rId39" Type="http://schemas.openxmlformats.org/officeDocument/2006/relationships/hyperlink" Target="https://www.acibadem.com.tr/ilgi-alani/anksiyete/" TargetMode="External"/><Relationship Id="rId40" Type="http://schemas.openxmlformats.org/officeDocument/2006/relationships/hyperlink" Target="https://www.acibadem.com.tr/ilgi-alani/anksiyete/" TargetMode="External"/><Relationship Id="rId41" Type="http://schemas.openxmlformats.org/officeDocument/2006/relationships/hyperlink" Target="https://www.acibadem.com.tr/ilgi-alani/baso-bazofil-nedir-yuksekligi-dusuklugu/" TargetMode="External"/><Relationship Id="rId42" Type="http://schemas.openxmlformats.org/officeDocument/2006/relationships/hyperlink" Target="https://www.acibadem.com.tr/ilgi-alani/baso-bazofil-nedir-yuksekligi-dusuklugu/" TargetMode="External"/><Relationship Id="rId43" Type="http://schemas.openxmlformats.org/officeDocument/2006/relationships/hyperlink" Target="https://www.acibadem.com.tr/ilgi-alani/baso-bazofil-nedir-yuksekligi-dusuklugu/" TargetMode="External"/><Relationship Id="rId44" Type="http://schemas.openxmlformats.org/officeDocument/2006/relationships/hyperlink" Target="https://www.acibadem.com.tr/ilgi-alani/antikor/" TargetMode="External"/><Relationship Id="rId45" Type="http://schemas.openxmlformats.org/officeDocument/2006/relationships/hyperlink" Target="https://www.acibadem.com.tr/ilgi-alani/antikor/" TargetMode="External"/><Relationship Id="rId46" Type="http://schemas.openxmlformats.org/officeDocument/2006/relationships/hyperlink" Target="https://www.acibadem.com.tr/ilgi-alani/antikor/" TargetMode="External"/><Relationship Id="rId47" Type="http://schemas.openxmlformats.org/officeDocument/2006/relationships/hyperlink" Target="https://www.acibadem.com.tr/ilgi-alani/ari-sokmasi/" TargetMode="External"/><Relationship Id="rId48" Type="http://schemas.openxmlformats.org/officeDocument/2006/relationships/hyperlink" Target="https://www.acibadem.com.tr/ilgi-alani/ari-sokmasi/" TargetMode="External"/><Relationship Id="rId49" Type="http://schemas.openxmlformats.org/officeDocument/2006/relationships/hyperlink" Target="https://www.acibadem.com.tr/ilgi-alani/ari-sokmasi/" TargetMode="External"/><Relationship Id="rId50" Type="http://schemas.openxmlformats.org/officeDocument/2006/relationships/hyperlink" Target="https://www.acibadem.com.tr/ilgi-alani/arrest-nedir-kardiyak-arrest-nedir/" TargetMode="External"/><Relationship Id="rId51" Type="http://schemas.openxmlformats.org/officeDocument/2006/relationships/hyperlink" Target="https://www.acibadem.com.tr/ilgi-alani/arrest-nedir-kardiyak-arrest-nedir/" TargetMode="External"/><Relationship Id="rId52" Type="http://schemas.openxmlformats.org/officeDocument/2006/relationships/hyperlink" Target="https://www.acibadem.com.tr/ilgi-alani/arrest-nedir-kardiyak-arrest-nedir/" TargetMode="External"/><Relationship Id="rId53" Type="http://schemas.openxmlformats.org/officeDocument/2006/relationships/hyperlink" Target="https://www.acibadem.com.tr/ilgi-alani/aort-kapak-darligi-nedir/" TargetMode="External"/><Relationship Id="rId54" Type="http://schemas.openxmlformats.org/officeDocument/2006/relationships/hyperlink" Target="https://www.acibadem.com.tr/ilgi-alani/aort-kapak-darligi-nedir/" TargetMode="External"/><Relationship Id="rId55" Type="http://schemas.openxmlformats.org/officeDocument/2006/relationships/hyperlink" Target="https://www.acibadem.com.tr/ilgi-alani/aort-kapak-darligi-nedir/" TargetMode="External"/><Relationship Id="rId56" Type="http://schemas.openxmlformats.org/officeDocument/2006/relationships/hyperlink" Target="https://www.acibadem.com.tr/ilgi-alani/araknoid-kist/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acibadem.com.tr/ilgi-alani/acik-kalp-ameliyati/" TargetMode="External"/><Relationship Id="rId2" Type="http://schemas.openxmlformats.org/officeDocument/2006/relationships/hyperlink" Target="https://www.acibadem.com.tr/ilgi-alani/acik-kalp-ameliyati/" TargetMode="External"/><Relationship Id="rId3" Type="http://schemas.openxmlformats.org/officeDocument/2006/relationships/hyperlink" Target="https://www.acibadem.com.tr/ilgi-alani/acik-kalp-ameliyati/" TargetMode="External"/><Relationship Id="rId4" Type="http://schemas.openxmlformats.org/officeDocument/2006/relationships/hyperlink" Target="https://www.acibadem.com.tr/acibadem-de/onkolojik-cerrahi/" TargetMode="External"/><Relationship Id="rId5" Type="http://schemas.openxmlformats.org/officeDocument/2006/relationships/hyperlink" Target="https://www.acibadem.com.tr/acibadem-de/onkolojik-cerrahi/" TargetMode="External"/><Relationship Id="rId6" Type="http://schemas.openxmlformats.org/officeDocument/2006/relationships/hyperlink" Target="https://www.acibadem.com.tr/acibadem-de/onkolojik-cerrahi/" TargetMode="External"/><Relationship Id="rId7" Type="http://schemas.openxmlformats.org/officeDocument/2006/relationships/hyperlink" Target="https://www.acibadem.com.tr/ilgi-alani/mide-bulantisi-neden-olur-surekli-mide-bulantisi-nedenleri/" TargetMode="External"/><Relationship Id="rId8" Type="http://schemas.openxmlformats.org/officeDocument/2006/relationships/hyperlink" Target="https://www.acibadem.com.tr/ilgi-alani/mide-bulantisi-neden-olur-surekli-mide-bulantisi-nedenleri/" TargetMode="External"/><Relationship Id="rId9" Type="http://schemas.openxmlformats.org/officeDocument/2006/relationships/hyperlink" Target="https://www.acibadem.com.tr/ilgi-alani/mide-bulantisi-neden-olur-surekli-mide-bulantisi-nedenleri/" TargetMode="External"/><Relationship Id="rId10" Type="http://schemas.openxmlformats.org/officeDocument/2006/relationships/hyperlink" Target="https://www.acibadem.com.tr/ilgi-alani/agiz-yarasi-nedir-belirtileri-ve-nedenleri/" TargetMode="External"/><Relationship Id="rId11" Type="http://schemas.openxmlformats.org/officeDocument/2006/relationships/hyperlink" Target="https://www.acibadem.com.tr/ilgi-alani/agiz-yarasi-nedir-belirtileri-ve-nedenleri/" TargetMode="External"/><Relationship Id="rId12" Type="http://schemas.openxmlformats.org/officeDocument/2006/relationships/hyperlink" Target="https://www.acibadem.com.tr/ilgi-alani/agiz-yarasi-nedir-belirtileri-ve-nedenleri/" TargetMode="External"/><Relationship Id="rId13" Type="http://schemas.openxmlformats.org/officeDocument/2006/relationships/hyperlink" Target="https://www.acibadem.com.tr/ilgi-alani/adet-gecikmesi-nedenleri-regl-gecikmesi-neden-olur/" TargetMode="External"/><Relationship Id="rId14" Type="http://schemas.openxmlformats.org/officeDocument/2006/relationships/hyperlink" Target="https://www.acibadem.com.tr/ilgi-alani/adet-gecikmesi-nedenleri-regl-gecikmesi-neden-olur/" TargetMode="External"/><Relationship Id="rId15" Type="http://schemas.openxmlformats.org/officeDocument/2006/relationships/hyperlink" Target="https://www.acibadem.com.tr/ilgi-alani/adh-vazopressin-nedir/" TargetMode="External"/><Relationship Id="rId16" Type="http://schemas.openxmlformats.org/officeDocument/2006/relationships/hyperlink" Target="https://www.acibadem.com.tr/ilgi-alani/adh-vazopressin-nedir/" TargetMode="External"/><Relationship Id="rId17" Type="http://schemas.openxmlformats.org/officeDocument/2006/relationships/hyperlink" Target="https://www.acibadem.com.tr/ilgi-alani/bel-fitigi-nedir/" TargetMode="External"/><Relationship Id="rId18" Type="http://schemas.openxmlformats.org/officeDocument/2006/relationships/hyperlink" Target="https://www.acibadem.com.tr/ilgi-alani/bel-fitigi-nedir/" TargetMode="External"/><Relationship Id="rId19" Type="http://schemas.openxmlformats.org/officeDocument/2006/relationships/hyperlink" Target="https://www.acibadem.com.tr/ilgi-alani/bel-fitigi-nedir/" TargetMode="External"/><Relationship Id="rId20" Type="http://schemas.openxmlformats.org/officeDocument/2006/relationships/hyperlink" Target="https://www.acibadem.com.tr/ilgi-alani/ampute-ne-demek/" TargetMode="External"/><Relationship Id="rId21" Type="http://schemas.openxmlformats.org/officeDocument/2006/relationships/hyperlink" Target="https://www.acibadem.com.tr/ilgi-alani/ampute-ne-demek/" TargetMode="External"/><Relationship Id="rId22" Type="http://schemas.openxmlformats.org/officeDocument/2006/relationships/hyperlink" Target="https://www.acibadem.com.tr/ilgi-alani/amilaz-nedir/" TargetMode="External"/><Relationship Id="rId23" Type="http://schemas.openxmlformats.org/officeDocument/2006/relationships/hyperlink" Target="https://www.acibadem.com.tr/ilgi-alani/amilaz-nedir/" TargetMode="External"/><Relationship Id="rId24" Type="http://schemas.openxmlformats.org/officeDocument/2006/relationships/hyperlink" Target="https://www.acibadem.com.tr/ilgi-alani/ameliyatsiz-goz-kapagi-estetigi/" TargetMode="External"/><Relationship Id="rId25" Type="http://schemas.openxmlformats.org/officeDocument/2006/relationships/hyperlink" Target="https://www.acibadem.com.tr/ilgi-alani/ameliyatsiz-goz-kapagi-estetigi/" TargetMode="External"/><Relationship Id="rId26" Type="http://schemas.openxmlformats.org/officeDocument/2006/relationships/hyperlink" Target="https://www.acibadem.com.tr/ilgi-alani/ameliyatsiz-goz-kapagi-estetigi/" TargetMode="External"/><Relationship Id="rId27" Type="http://schemas.openxmlformats.org/officeDocument/2006/relationships/hyperlink" Target="https://www.acibadem.com.tr/ilgi-alani/amiloidoz-nedir-organlarda-protein-birikimi/" TargetMode="External"/><Relationship Id="rId28" Type="http://schemas.openxmlformats.org/officeDocument/2006/relationships/hyperlink" Target="https://www.acibadem.com.tr/ilgi-alani/amiloidoz-nedir-organlarda-protein-birikimi/" TargetMode="External"/><Relationship Id="rId29" Type="http://schemas.openxmlformats.org/officeDocument/2006/relationships/hyperlink" Target="https://www.acibadem.com.tr/ilgi-alani/amiloidoz-nedir-organlarda-protein-birikimi/" TargetMode="External"/><Relationship Id="rId30" Type="http://schemas.openxmlformats.org/officeDocument/2006/relationships/hyperlink" Target="https://www.acibadem.com.tr/ilgi-alani/amok-hastaligi-nedir-ani-ofke-patlamalari/" TargetMode="External"/><Relationship Id="rId31" Type="http://schemas.openxmlformats.org/officeDocument/2006/relationships/hyperlink" Target="https://www.acibadem.com.tr/ilgi-alani/anoreksiya-nedir-anoreksiya-nervoza-belirtileri/" TargetMode="External"/><Relationship Id="rId32" Type="http://schemas.openxmlformats.org/officeDocument/2006/relationships/hyperlink" Target="https://www.acibadem.com.tr/ilgi-alani/anoreksiya-nedir-anoreksiya-nervoza-belirtileri/" TargetMode="External"/><Relationship Id="rId33" Type="http://schemas.openxmlformats.org/officeDocument/2006/relationships/hyperlink" Target="https://www.acibadem.com.tr/ilgi-alani/anoreksiya-nedir-anoreksiya-nervoza-belirtileri/" TargetMode="External"/><Relationship Id="rId34" Type="http://schemas.openxmlformats.org/officeDocument/2006/relationships/hyperlink" Target="https://www.acibadem.com.tr/ilgi-alani/ankilozan-spondilit/" TargetMode="External"/><Relationship Id="rId35" Type="http://schemas.openxmlformats.org/officeDocument/2006/relationships/hyperlink" Target="https://www.acibadem.com.tr/ilgi-alani/ankilozan-spondilit/" TargetMode="External"/><Relationship Id="rId36" Type="http://schemas.openxmlformats.org/officeDocument/2006/relationships/hyperlink" Target="https://www.acibadem.com.tr/ilgi-alani/ankilozan-spondilit/" TargetMode="External"/><Relationship Id="rId37" Type="http://schemas.openxmlformats.org/officeDocument/2006/relationships/hyperlink" Target="https://www.acibadem.com.tr/ilgi-alani/anksiyete/" TargetMode="External"/><Relationship Id="rId38" Type="http://schemas.openxmlformats.org/officeDocument/2006/relationships/hyperlink" Target="https://www.acibadem.com.tr/ilgi-alani/anksiyete/" TargetMode="External"/><Relationship Id="rId39" Type="http://schemas.openxmlformats.org/officeDocument/2006/relationships/hyperlink" Target="https://www.acibadem.com.tr/ilgi-alani/baso-bazofil-nedir-yuksekligi-dusuklugu/" TargetMode="External"/><Relationship Id="rId40" Type="http://schemas.openxmlformats.org/officeDocument/2006/relationships/hyperlink" Target="https://www.acibadem.com.tr/ilgi-alani/baso-bazofil-nedir-yuksekligi-dusuklugu/" TargetMode="External"/><Relationship Id="rId41" Type="http://schemas.openxmlformats.org/officeDocument/2006/relationships/hyperlink" Target="https://www.acibadem.com.tr/ilgi-alani/baso-bazofil-nedir-yuksekligi-dusuklugu/" TargetMode="External"/><Relationship Id="rId42" Type="http://schemas.openxmlformats.org/officeDocument/2006/relationships/hyperlink" Target="https://www.acibadem.com.tr/ilgi-alani/antikor/" TargetMode="External"/><Relationship Id="rId43" Type="http://schemas.openxmlformats.org/officeDocument/2006/relationships/hyperlink" Target="https://www.acibadem.com.tr/ilgi-alani/antikor/" TargetMode="External"/><Relationship Id="rId44" Type="http://schemas.openxmlformats.org/officeDocument/2006/relationships/hyperlink" Target="https://www.acibadem.com.tr/ilgi-alani/antikor/" TargetMode="External"/><Relationship Id="rId45" Type="http://schemas.openxmlformats.org/officeDocument/2006/relationships/hyperlink" Target="https://www.acibadem.com.tr/ilgi-alani/ari-sokmasi/" TargetMode="External"/><Relationship Id="rId46" Type="http://schemas.openxmlformats.org/officeDocument/2006/relationships/hyperlink" Target="https://www.acibadem.com.tr/ilgi-alani/ari-sokmasi/" TargetMode="External"/><Relationship Id="rId47" Type="http://schemas.openxmlformats.org/officeDocument/2006/relationships/hyperlink" Target="https://www.acibadem.com.tr/ilgi-alani/ari-sokmasi/" TargetMode="External"/><Relationship Id="rId48" Type="http://schemas.openxmlformats.org/officeDocument/2006/relationships/hyperlink" Target="https://www.acibadem.com.tr/ilgi-alani/arrest-nedir-kardiyak-arrest-nedir/" TargetMode="External"/><Relationship Id="rId49" Type="http://schemas.openxmlformats.org/officeDocument/2006/relationships/hyperlink" Target="https://www.acibadem.com.tr/ilgi-alani/arrest-nedir-kardiyak-arrest-nedir/" TargetMode="External"/><Relationship Id="rId50" Type="http://schemas.openxmlformats.org/officeDocument/2006/relationships/hyperlink" Target="https://www.acibadem.com.tr/ilgi-alani/arrest-nedir-kardiyak-arrest-nedir/" TargetMode="External"/><Relationship Id="rId51" Type="http://schemas.openxmlformats.org/officeDocument/2006/relationships/hyperlink" Target="https://www.acibadem.com.tr/ilgi-alani/aort-kapak-darligi-nedir/" TargetMode="External"/><Relationship Id="rId52" Type="http://schemas.openxmlformats.org/officeDocument/2006/relationships/hyperlink" Target="https://www.acibadem.com.tr/ilgi-alani/aort-kapak-darligi-nedir/" TargetMode="External"/><Relationship Id="rId53" Type="http://schemas.openxmlformats.org/officeDocument/2006/relationships/hyperlink" Target="https://www.acibadem.com.tr/ilgi-alani/aort-kapak-darligi-nedir/" TargetMode="External"/><Relationship Id="rId54" Type="http://schemas.openxmlformats.org/officeDocument/2006/relationships/hyperlink" Target="https://www.acibadem.com.tr/ilgi-alani/araknoid-kist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8.4297" style="1" customWidth="1"/>
    <col min="2" max="2" width="38.2812" style="1" customWidth="1"/>
    <col min="3" max="4" width="43" style="1" customWidth="1"/>
    <col min="5" max="5" width="15.5" style="1" customWidth="1"/>
    <col min="6" max="6" width="16.1719" style="1" customWidth="1"/>
    <col min="7" max="7" width="17" style="1" customWidth="1"/>
    <col min="8" max="9" width="16.1719" style="1" customWidth="1"/>
    <col min="10" max="10" width="17" style="1" customWidth="1"/>
    <col min="11" max="12" width="31.5" style="1" customWidth="1"/>
    <col min="13" max="13" width="28.4297" style="13" customWidth="1"/>
    <col min="14" max="19" width="16.3516" style="13" customWidth="1"/>
    <col min="20" max="24" width="16.3516" style="14" customWidth="1"/>
    <col min="25" max="29" width="16.3516" style="21" customWidth="1"/>
    <col min="30" max="16384" width="16.3516" style="2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</row>
    <row r="3" ht="44.25" customHeight="1">
      <c r="A3" t="s" s="4">
        <v>12</v>
      </c>
      <c r="B3" t="s" s="5">
        <v>13</v>
      </c>
      <c r="C3" t="s" s="6">
        <v>13</v>
      </c>
      <c r="D3" t="s" s="6">
        <v>14</v>
      </c>
      <c r="E3" t="s" s="6">
        <v>15</v>
      </c>
      <c r="F3" t="s" s="6">
        <v>16</v>
      </c>
      <c r="G3" t="s" s="6">
        <v>16</v>
      </c>
      <c r="H3" t="s" s="6">
        <v>15</v>
      </c>
      <c r="I3" t="s" s="6">
        <v>16</v>
      </c>
      <c r="J3" t="s" s="6">
        <v>16</v>
      </c>
      <c r="K3" t="s" s="6">
        <v>15</v>
      </c>
      <c r="L3" t="s" s="6">
        <v>15</v>
      </c>
    </row>
    <row r="4" ht="44.05" customHeight="1">
      <c r="A4" t="s" s="7">
        <v>17</v>
      </c>
      <c r="B4" t="s" s="8">
        <v>18</v>
      </c>
      <c r="C4" t="s" s="9">
        <v>19</v>
      </c>
      <c r="D4" t="s" s="9">
        <v>20</v>
      </c>
      <c r="E4" t="s" s="9">
        <v>15</v>
      </c>
      <c r="F4" t="s" s="9">
        <v>16</v>
      </c>
      <c r="G4" t="s" s="9">
        <v>16</v>
      </c>
      <c r="H4" t="s" s="9">
        <v>16</v>
      </c>
      <c r="I4" t="s" s="9">
        <v>16</v>
      </c>
      <c r="J4" t="s" s="9">
        <v>15</v>
      </c>
      <c r="K4" t="s" s="9">
        <v>15</v>
      </c>
      <c r="L4" t="s" s="9">
        <v>16</v>
      </c>
    </row>
    <row r="5" ht="44.05" customHeight="1">
      <c r="A5" t="s" s="7">
        <v>21</v>
      </c>
      <c r="B5" t="s" s="8">
        <v>22</v>
      </c>
      <c r="C5" t="s" s="9">
        <v>22</v>
      </c>
      <c r="D5" t="s" s="9">
        <v>23</v>
      </c>
      <c r="E5" t="s" s="9">
        <v>15</v>
      </c>
      <c r="F5" t="s" s="9">
        <v>16</v>
      </c>
      <c r="G5" t="s" s="9">
        <v>16</v>
      </c>
      <c r="H5" t="s" s="9">
        <v>15</v>
      </c>
      <c r="I5" t="s" s="9">
        <v>16</v>
      </c>
      <c r="J5" t="s" s="9">
        <v>16</v>
      </c>
      <c r="K5" t="s" s="9">
        <v>15</v>
      </c>
      <c r="L5" t="s" s="9">
        <v>15</v>
      </c>
    </row>
    <row r="6" ht="92.05" customHeight="1">
      <c r="A6" t="s" s="7">
        <v>24</v>
      </c>
      <c r="B6" t="s" s="8">
        <v>25</v>
      </c>
      <c r="C6" t="s" s="9">
        <v>26</v>
      </c>
      <c r="D6" t="s" s="9">
        <v>27</v>
      </c>
      <c r="E6" t="s" s="9">
        <v>16</v>
      </c>
      <c r="F6" t="s" s="9">
        <v>15</v>
      </c>
      <c r="G6" t="s" s="9">
        <v>16</v>
      </c>
      <c r="H6" t="s" s="9">
        <v>15</v>
      </c>
      <c r="I6" t="s" s="9">
        <v>16</v>
      </c>
      <c r="J6" t="s" s="9">
        <v>16</v>
      </c>
      <c r="K6" t="s" s="9">
        <v>15</v>
      </c>
      <c r="L6" t="s" s="9">
        <v>15</v>
      </c>
    </row>
    <row r="7" ht="44.05" customHeight="1">
      <c r="A7" t="s" s="7">
        <v>28</v>
      </c>
      <c r="B7" t="s" s="8">
        <v>29</v>
      </c>
      <c r="C7" t="s" s="9">
        <v>19</v>
      </c>
      <c r="D7" t="s" s="9">
        <v>30</v>
      </c>
      <c r="E7" t="s" s="9">
        <v>15</v>
      </c>
      <c r="F7" t="s" s="9">
        <v>16</v>
      </c>
      <c r="G7" t="s" s="9">
        <v>16</v>
      </c>
      <c r="H7" t="s" s="9">
        <v>16</v>
      </c>
      <c r="I7" t="s" s="9">
        <v>16</v>
      </c>
      <c r="J7" t="s" s="9">
        <v>15</v>
      </c>
      <c r="K7" t="s" s="9">
        <v>15</v>
      </c>
      <c r="L7" t="s" s="9">
        <v>16</v>
      </c>
    </row>
    <row r="8" ht="44.05" customHeight="1">
      <c r="A8" t="s" s="7">
        <v>31</v>
      </c>
      <c r="B8" t="s" s="8">
        <v>32</v>
      </c>
      <c r="C8" t="s" s="9">
        <v>19</v>
      </c>
      <c r="D8" t="s" s="9">
        <v>33</v>
      </c>
      <c r="E8" t="s" s="9">
        <v>15</v>
      </c>
      <c r="F8" t="s" s="9">
        <v>16</v>
      </c>
      <c r="G8" t="s" s="9">
        <v>16</v>
      </c>
      <c r="H8" t="s" s="9">
        <v>16</v>
      </c>
      <c r="I8" t="s" s="9">
        <v>16</v>
      </c>
      <c r="J8" t="s" s="9">
        <v>15</v>
      </c>
      <c r="K8" t="s" s="9">
        <v>15</v>
      </c>
      <c r="L8" t="s" s="9">
        <v>16</v>
      </c>
    </row>
    <row r="9" ht="32.05" customHeight="1">
      <c r="A9" t="s" s="7">
        <v>34</v>
      </c>
      <c r="B9" t="s" s="8">
        <v>35</v>
      </c>
      <c r="C9" t="s" s="9">
        <v>35</v>
      </c>
      <c r="D9" t="s" s="9">
        <v>36</v>
      </c>
      <c r="E9" t="s" s="9">
        <v>15</v>
      </c>
      <c r="F9" t="s" s="9">
        <v>16</v>
      </c>
      <c r="G9" t="s" s="9">
        <v>16</v>
      </c>
      <c r="H9" t="s" s="9">
        <v>15</v>
      </c>
      <c r="I9" t="s" s="9">
        <v>16</v>
      </c>
      <c r="J9" t="s" s="9">
        <v>16</v>
      </c>
      <c r="K9" t="s" s="9">
        <v>15</v>
      </c>
      <c r="L9" t="s" s="9">
        <v>15</v>
      </c>
    </row>
    <row r="10" ht="44.05" customHeight="1">
      <c r="A10" t="s" s="7">
        <v>37</v>
      </c>
      <c r="B10" t="s" s="8">
        <v>38</v>
      </c>
      <c r="C10" t="s" s="9">
        <v>19</v>
      </c>
      <c r="D10" t="s" s="9">
        <v>39</v>
      </c>
      <c r="E10" t="s" s="9">
        <v>15</v>
      </c>
      <c r="F10" t="s" s="9">
        <v>16</v>
      </c>
      <c r="G10" t="s" s="9">
        <v>16</v>
      </c>
      <c r="H10" t="s" s="9">
        <v>16</v>
      </c>
      <c r="I10" t="s" s="9">
        <v>16</v>
      </c>
      <c r="J10" t="s" s="9">
        <v>15</v>
      </c>
      <c r="K10" t="s" s="9">
        <v>15</v>
      </c>
      <c r="L10" t="s" s="9">
        <v>16</v>
      </c>
    </row>
    <row r="11" ht="44.05" customHeight="1">
      <c r="A11" t="s" s="7">
        <v>40</v>
      </c>
      <c r="B11" t="s" s="8">
        <v>41</v>
      </c>
      <c r="C11" t="s" s="9">
        <v>19</v>
      </c>
      <c r="D11" t="s" s="9">
        <v>42</v>
      </c>
      <c r="E11" t="s" s="9">
        <v>15</v>
      </c>
      <c r="F11" t="s" s="9">
        <v>16</v>
      </c>
      <c r="G11" t="s" s="9">
        <v>16</v>
      </c>
      <c r="H11" t="s" s="9">
        <v>16</v>
      </c>
      <c r="I11" t="s" s="9">
        <v>16</v>
      </c>
      <c r="J11" t="s" s="9">
        <v>15</v>
      </c>
      <c r="K11" t="s" s="9">
        <v>15</v>
      </c>
      <c r="L11" t="s" s="9">
        <v>16</v>
      </c>
    </row>
    <row r="12" ht="68.05" customHeight="1">
      <c r="A12" t="s" s="7">
        <v>43</v>
      </c>
      <c r="B12" t="s" s="8">
        <v>44</v>
      </c>
      <c r="C12" t="s" s="9">
        <v>19</v>
      </c>
      <c r="D12" t="s" s="9">
        <v>45</v>
      </c>
      <c r="E12" t="s" s="9">
        <v>16</v>
      </c>
      <c r="F12" t="s" s="9">
        <v>15</v>
      </c>
      <c r="G12" t="s" s="9">
        <v>16</v>
      </c>
      <c r="H12" t="s" s="9">
        <v>16</v>
      </c>
      <c r="I12" t="s" s="9">
        <v>16</v>
      </c>
      <c r="J12" t="s" s="9">
        <v>15</v>
      </c>
      <c r="K12" t="s" s="9">
        <v>15</v>
      </c>
      <c r="L12" t="s" s="9">
        <v>16</v>
      </c>
    </row>
    <row r="13" ht="52.95" customHeight="1">
      <c r="A13" t="s" s="7">
        <v>46</v>
      </c>
      <c r="B13" t="s" s="8">
        <v>47</v>
      </c>
      <c r="C13" t="s" s="9">
        <v>19</v>
      </c>
      <c r="D13" t="s" s="9">
        <v>48</v>
      </c>
      <c r="E13" t="s" s="9">
        <v>15</v>
      </c>
      <c r="F13" t="s" s="9">
        <v>16</v>
      </c>
      <c r="G13" t="s" s="9">
        <v>16</v>
      </c>
      <c r="H13" t="s" s="9">
        <v>16</v>
      </c>
      <c r="I13" t="s" s="9">
        <v>16</v>
      </c>
      <c r="J13" t="s" s="9">
        <v>15</v>
      </c>
      <c r="K13" t="s" s="9">
        <v>15</v>
      </c>
      <c r="L13" t="s" s="9">
        <v>16</v>
      </c>
    </row>
    <row r="14" ht="37.95" customHeight="1">
      <c r="A14" t="s" s="7">
        <v>49</v>
      </c>
      <c r="B14" t="s" s="8">
        <v>19</v>
      </c>
      <c r="C14" t="s" s="9">
        <v>19</v>
      </c>
      <c r="D14" t="s" s="9">
        <v>50</v>
      </c>
      <c r="E14" t="s" s="9">
        <v>16</v>
      </c>
      <c r="F14" t="s" s="9">
        <v>16</v>
      </c>
      <c r="G14" t="s" s="9">
        <v>15</v>
      </c>
      <c r="H14" t="s" s="9">
        <v>16</v>
      </c>
      <c r="I14" t="s" s="9">
        <v>16</v>
      </c>
      <c r="J14" t="s" s="9">
        <v>15</v>
      </c>
      <c r="K14" t="s" s="9">
        <v>16</v>
      </c>
      <c r="L14" t="s" s="9">
        <v>16</v>
      </c>
    </row>
    <row r="15" ht="44.05" customHeight="1">
      <c r="A15" t="s" s="7">
        <v>51</v>
      </c>
      <c r="B15" t="s" s="8">
        <v>52</v>
      </c>
      <c r="C15" t="s" s="9">
        <v>19</v>
      </c>
      <c r="D15" t="s" s="9">
        <v>53</v>
      </c>
      <c r="E15" t="s" s="9">
        <v>15</v>
      </c>
      <c r="F15" t="s" s="9">
        <v>16</v>
      </c>
      <c r="G15" t="s" s="9">
        <v>16</v>
      </c>
      <c r="H15" t="s" s="9">
        <v>16</v>
      </c>
      <c r="I15" t="s" s="9">
        <v>16</v>
      </c>
      <c r="J15" t="s" s="9">
        <v>15</v>
      </c>
      <c r="K15" t="s" s="9">
        <v>15</v>
      </c>
      <c r="L15" t="s" s="9">
        <v>16</v>
      </c>
    </row>
    <row r="16" ht="44.05" customHeight="1">
      <c r="A16" t="s" s="7">
        <v>54</v>
      </c>
      <c r="B16" t="s" s="8">
        <v>55</v>
      </c>
      <c r="C16" t="s" s="9">
        <v>55</v>
      </c>
      <c r="D16" t="s" s="9">
        <v>56</v>
      </c>
      <c r="E16" t="s" s="9">
        <v>15</v>
      </c>
      <c r="F16" t="s" s="9">
        <v>16</v>
      </c>
      <c r="G16" t="s" s="9">
        <v>16</v>
      </c>
      <c r="H16" t="s" s="9">
        <v>15</v>
      </c>
      <c r="I16" t="s" s="9">
        <v>16</v>
      </c>
      <c r="J16" t="s" s="9">
        <v>16</v>
      </c>
      <c r="K16" t="s" s="9">
        <v>15</v>
      </c>
      <c r="L16" t="s" s="9">
        <v>15</v>
      </c>
    </row>
    <row r="17" ht="32.05" customHeight="1">
      <c r="A17" t="s" s="7">
        <v>57</v>
      </c>
      <c r="B17" t="s" s="8">
        <v>58</v>
      </c>
      <c r="C17" t="s" s="9">
        <v>19</v>
      </c>
      <c r="D17" t="s" s="9">
        <v>59</v>
      </c>
      <c r="E17" t="s" s="9">
        <v>15</v>
      </c>
      <c r="F17" t="s" s="9">
        <v>16</v>
      </c>
      <c r="G17" t="s" s="9">
        <v>16</v>
      </c>
      <c r="H17" t="s" s="9">
        <v>16</v>
      </c>
      <c r="I17" t="s" s="9">
        <v>16</v>
      </c>
      <c r="J17" t="s" s="9">
        <v>15</v>
      </c>
      <c r="K17" t="s" s="9">
        <v>15</v>
      </c>
      <c r="L17" t="s" s="9">
        <v>16</v>
      </c>
    </row>
    <row r="18" ht="44.05" customHeight="1">
      <c r="A18" t="s" s="7">
        <v>60</v>
      </c>
      <c r="B18" t="s" s="8">
        <v>61</v>
      </c>
      <c r="C18" t="s" s="9">
        <v>19</v>
      </c>
      <c r="D18" t="s" s="9">
        <v>62</v>
      </c>
      <c r="E18" t="s" s="9">
        <v>15</v>
      </c>
      <c r="F18" t="s" s="9">
        <v>16</v>
      </c>
      <c r="G18" t="s" s="9">
        <v>16</v>
      </c>
      <c r="H18" t="s" s="9">
        <v>16</v>
      </c>
      <c r="I18" t="s" s="9">
        <v>16</v>
      </c>
      <c r="J18" t="s" s="9">
        <v>15</v>
      </c>
      <c r="K18" t="s" s="9">
        <v>15</v>
      </c>
      <c r="L18" t="s" s="9">
        <v>16</v>
      </c>
    </row>
    <row r="19" ht="32.05" customHeight="1">
      <c r="A19" t="s" s="7">
        <v>63</v>
      </c>
      <c r="B19" t="s" s="8">
        <v>64</v>
      </c>
      <c r="C19" t="s" s="9">
        <v>19</v>
      </c>
      <c r="D19" t="s" s="9">
        <v>65</v>
      </c>
      <c r="E19" t="s" s="9">
        <v>15</v>
      </c>
      <c r="F19" t="s" s="9">
        <v>16</v>
      </c>
      <c r="G19" t="s" s="9">
        <v>16</v>
      </c>
      <c r="H19" t="s" s="9">
        <v>16</v>
      </c>
      <c r="I19" t="s" s="9">
        <v>16</v>
      </c>
      <c r="J19" t="s" s="9">
        <v>15</v>
      </c>
      <c r="K19" t="s" s="9">
        <v>15</v>
      </c>
      <c r="L19" t="s" s="9">
        <v>16</v>
      </c>
    </row>
    <row r="20" ht="32.05" customHeight="1">
      <c r="A20" t="s" s="7">
        <v>66</v>
      </c>
      <c r="B20" t="s" s="8">
        <v>67</v>
      </c>
      <c r="C20" t="s" s="9">
        <v>19</v>
      </c>
      <c r="D20" t="s" s="9">
        <v>68</v>
      </c>
      <c r="E20" t="s" s="9">
        <v>15</v>
      </c>
      <c r="F20" t="s" s="9">
        <v>16</v>
      </c>
      <c r="G20" t="s" s="9">
        <v>16</v>
      </c>
      <c r="H20" t="s" s="9">
        <v>16</v>
      </c>
      <c r="I20" t="s" s="9">
        <v>16</v>
      </c>
      <c r="J20" t="s" s="9">
        <v>15</v>
      </c>
      <c r="K20" t="s" s="9">
        <v>15</v>
      </c>
      <c r="L20" t="s" s="9">
        <v>16</v>
      </c>
    </row>
    <row r="21" ht="44.05" customHeight="1">
      <c r="A21" t="s" s="7">
        <v>69</v>
      </c>
      <c r="B21" t="s" s="8">
        <v>70</v>
      </c>
      <c r="C21" t="s" s="9">
        <v>19</v>
      </c>
      <c r="D21" t="s" s="9">
        <v>71</v>
      </c>
      <c r="E21" t="s" s="9">
        <v>15</v>
      </c>
      <c r="F21" t="s" s="9">
        <v>16</v>
      </c>
      <c r="G21" t="s" s="9">
        <v>16</v>
      </c>
      <c r="H21" t="s" s="9">
        <v>16</v>
      </c>
      <c r="I21" t="s" s="9">
        <v>16</v>
      </c>
      <c r="J21" t="s" s="9">
        <v>15</v>
      </c>
      <c r="K21" t="s" s="9">
        <v>15</v>
      </c>
      <c r="L21" t="s" s="9">
        <v>16</v>
      </c>
    </row>
    <row r="22" ht="80.05" customHeight="1">
      <c r="A22" t="s" s="7">
        <v>72</v>
      </c>
      <c r="B22" t="s" s="8">
        <v>73</v>
      </c>
      <c r="C22" t="s" s="9">
        <v>74</v>
      </c>
      <c r="D22" t="s" s="9">
        <v>75</v>
      </c>
      <c r="E22" t="s" s="9">
        <v>16</v>
      </c>
      <c r="F22" t="s" s="9">
        <v>15</v>
      </c>
      <c r="G22" t="s" s="9">
        <v>16</v>
      </c>
      <c r="H22" t="s" s="9">
        <v>15</v>
      </c>
      <c r="I22" t="s" s="9">
        <v>16</v>
      </c>
      <c r="J22" t="s" s="9">
        <v>16</v>
      </c>
      <c r="K22" t="s" s="9">
        <v>15</v>
      </c>
      <c r="L22" t="s" s="9">
        <v>15</v>
      </c>
    </row>
    <row r="23" ht="22.95" customHeight="1">
      <c r="A23" t="s" s="7">
        <v>76</v>
      </c>
      <c r="B23" s="10"/>
      <c r="C23" s="11"/>
      <c r="D23" s="11"/>
      <c r="E23" s="12">
        <f>COUNTIF(E3:E22,"=True")</f>
        <v>16</v>
      </c>
      <c r="F23" s="12">
        <f>COUNTIF(F3:F22,"=True")</f>
        <v>3</v>
      </c>
      <c r="G23" s="12">
        <f>COUNTIF(G3:G22,"=True")</f>
        <v>1</v>
      </c>
      <c r="H23" s="12">
        <f>COUNTIF(H3:H22,"=True")</f>
        <v>6</v>
      </c>
      <c r="I23" s="12">
        <f>COUNTIF(I3:I22,"=True")</f>
        <v>0</v>
      </c>
      <c r="J23" s="12">
        <f>COUNTIF(J3:J22,"=True")</f>
        <v>14</v>
      </c>
      <c r="K23" s="12">
        <f>COUNTIF(K3:K22,"=True")</f>
        <v>19</v>
      </c>
      <c r="L23" s="12">
        <f>COUNTIF(L3:L22,"=True")</f>
        <v>6</v>
      </c>
    </row>
    <row r="25" ht="27.65" customHeight="1">
      <c r="M25" t="s" s="2">
        <v>77</v>
      </c>
      <c r="N25" s="2"/>
      <c r="O25" s="2"/>
      <c r="P25" s="2"/>
      <c r="Q25" s="2"/>
      <c r="R25" s="2"/>
      <c r="S25" s="2"/>
    </row>
    <row r="26" ht="20.25" customHeight="1">
      <c r="M26" t="s" s="3">
        <v>77</v>
      </c>
      <c r="N26" t="s" s="3">
        <v>1</v>
      </c>
      <c r="O26" t="s" s="3">
        <v>2</v>
      </c>
      <c r="P26" t="s" s="3">
        <v>78</v>
      </c>
      <c r="Q26" t="s" s="3">
        <v>79</v>
      </c>
      <c r="R26" t="s" s="3">
        <v>80</v>
      </c>
      <c r="S26" t="s" s="3">
        <v>81</v>
      </c>
    </row>
    <row r="27" ht="38.15" customHeight="1">
      <c r="M27" t="s" s="4">
        <v>82</v>
      </c>
      <c r="N27" t="s" s="5">
        <v>19</v>
      </c>
      <c r="O27" t="s" s="6">
        <v>19</v>
      </c>
      <c r="P27" t="s" s="6">
        <v>15</v>
      </c>
      <c r="Q27" t="s" s="6">
        <v>16</v>
      </c>
      <c r="R27" t="s" s="6">
        <v>15</v>
      </c>
      <c r="S27" t="s" s="6">
        <v>16</v>
      </c>
    </row>
    <row r="28" ht="37.95" customHeight="1">
      <c r="M28" t="s" s="7">
        <v>83</v>
      </c>
      <c r="N28" t="s" s="8">
        <v>19</v>
      </c>
      <c r="O28" t="s" s="9">
        <v>19</v>
      </c>
      <c r="P28" t="s" s="9">
        <v>15</v>
      </c>
      <c r="Q28" t="s" s="9">
        <v>16</v>
      </c>
      <c r="R28" t="s" s="9">
        <v>15</v>
      </c>
      <c r="S28" t="s" s="9">
        <v>16</v>
      </c>
    </row>
    <row r="29" ht="22.95" customHeight="1">
      <c r="M29" t="s" s="7">
        <v>84</v>
      </c>
      <c r="N29" t="s" s="8">
        <v>19</v>
      </c>
      <c r="O29" t="s" s="9">
        <v>19</v>
      </c>
      <c r="P29" t="s" s="9">
        <v>15</v>
      </c>
      <c r="Q29" t="s" s="9">
        <v>16</v>
      </c>
      <c r="R29" t="s" s="9">
        <v>15</v>
      </c>
      <c r="S29" t="s" s="9">
        <v>16</v>
      </c>
    </row>
    <row r="30" ht="37.95" customHeight="1">
      <c r="M30" t="s" s="7">
        <v>85</v>
      </c>
      <c r="N30" t="s" s="8">
        <v>19</v>
      </c>
      <c r="O30" t="s" s="9">
        <v>19</v>
      </c>
      <c r="P30" t="s" s="9">
        <v>15</v>
      </c>
      <c r="Q30" t="s" s="9">
        <v>16</v>
      </c>
      <c r="R30" t="s" s="9">
        <v>15</v>
      </c>
      <c r="S30" t="s" s="9">
        <v>16</v>
      </c>
    </row>
    <row r="31" ht="37.95" customHeight="1">
      <c r="M31" t="s" s="7">
        <v>86</v>
      </c>
      <c r="N31" t="s" s="8">
        <v>19</v>
      </c>
      <c r="O31" t="s" s="9">
        <v>19</v>
      </c>
      <c r="P31" t="s" s="9">
        <v>15</v>
      </c>
      <c r="Q31" t="s" s="9">
        <v>16</v>
      </c>
      <c r="R31" t="s" s="9">
        <v>15</v>
      </c>
      <c r="S31" t="s" s="9">
        <v>16</v>
      </c>
    </row>
    <row r="32" ht="22.95" customHeight="1">
      <c r="M32" t="s" s="7">
        <v>87</v>
      </c>
      <c r="N32" t="s" s="8">
        <v>19</v>
      </c>
      <c r="O32" t="s" s="9">
        <v>19</v>
      </c>
      <c r="P32" t="s" s="9">
        <v>15</v>
      </c>
      <c r="Q32" t="s" s="9">
        <v>16</v>
      </c>
      <c r="R32" t="s" s="9">
        <v>15</v>
      </c>
      <c r="S32" t="s" s="9">
        <v>16</v>
      </c>
    </row>
    <row r="33" ht="37.95" customHeight="1">
      <c r="M33" t="s" s="7">
        <v>88</v>
      </c>
      <c r="N33" t="s" s="8">
        <v>19</v>
      </c>
      <c r="O33" t="s" s="9">
        <v>19</v>
      </c>
      <c r="P33" t="s" s="9">
        <v>15</v>
      </c>
      <c r="Q33" t="s" s="9">
        <v>16</v>
      </c>
      <c r="R33" t="s" s="9">
        <v>15</v>
      </c>
      <c r="S33" t="s" s="9">
        <v>16</v>
      </c>
    </row>
    <row r="34" ht="22.95" customHeight="1">
      <c r="M34" t="s" s="7">
        <v>89</v>
      </c>
      <c r="N34" t="s" s="8">
        <v>19</v>
      </c>
      <c r="O34" t="s" s="9">
        <v>19</v>
      </c>
      <c r="P34" t="s" s="9">
        <v>15</v>
      </c>
      <c r="Q34" t="s" s="9">
        <v>16</v>
      </c>
      <c r="R34" t="s" s="9">
        <v>15</v>
      </c>
      <c r="S34" t="s" s="9">
        <v>16</v>
      </c>
    </row>
    <row r="35" ht="22.95" customHeight="1">
      <c r="M35" t="s" s="7">
        <v>90</v>
      </c>
      <c r="N35" t="s" s="8">
        <v>19</v>
      </c>
      <c r="O35" t="s" s="9">
        <v>19</v>
      </c>
      <c r="P35" t="s" s="9">
        <v>15</v>
      </c>
      <c r="Q35" t="s" s="9">
        <v>16</v>
      </c>
      <c r="R35" t="s" s="9">
        <v>15</v>
      </c>
      <c r="S35" t="s" s="9">
        <v>16</v>
      </c>
    </row>
    <row r="36" ht="37.95" customHeight="1">
      <c r="M36" t="s" s="7">
        <v>91</v>
      </c>
      <c r="N36" t="s" s="8">
        <v>19</v>
      </c>
      <c r="O36" t="s" s="9">
        <v>19</v>
      </c>
      <c r="P36" t="s" s="9">
        <v>15</v>
      </c>
      <c r="Q36" t="s" s="9">
        <v>16</v>
      </c>
      <c r="R36" t="s" s="9">
        <v>15</v>
      </c>
      <c r="S36" t="s" s="9">
        <v>16</v>
      </c>
    </row>
    <row r="37" ht="22.95" customHeight="1">
      <c r="M37" t="s" s="7">
        <v>76</v>
      </c>
      <c r="N37" s="10"/>
      <c r="O37" s="11"/>
      <c r="P37" s="12">
        <f>COUNTIF(P27:P36,"=True")</f>
        <v>10</v>
      </c>
      <c r="Q37" s="12">
        <f>COUNTIF(Q27:Q36,"=True")</f>
        <v>0</v>
      </c>
      <c r="R37" s="12">
        <f>COUNTIF(R27:R36,"=True")</f>
        <v>10</v>
      </c>
      <c r="S37" s="12">
        <f>COUNTIF(S27:S36,"=True")</f>
        <v>0</v>
      </c>
    </row>
    <row r="39" ht="27.65" customHeight="1">
      <c r="T39" t="s" s="2">
        <v>92</v>
      </c>
      <c r="U39" s="2"/>
      <c r="V39" s="2"/>
      <c r="W39" s="2"/>
      <c r="X39" s="2"/>
    </row>
    <row r="40" ht="20.25" customHeight="1">
      <c r="T40" s="15"/>
      <c r="U40" t="s" s="3">
        <v>93</v>
      </c>
      <c r="V40" t="s" s="3">
        <v>94</v>
      </c>
      <c r="W40" t="s" s="3">
        <v>95</v>
      </c>
      <c r="X40" t="s" s="3">
        <v>96</v>
      </c>
    </row>
    <row r="41" ht="20.25" customHeight="1">
      <c r="T41" t="s" s="16">
        <v>1</v>
      </c>
      <c r="U41" s="17">
        <f>E23</f>
        <v>16</v>
      </c>
      <c r="V41" s="18">
        <f>SUM(F23,Q37)</f>
        <v>3</v>
      </c>
      <c r="W41" s="18">
        <f>P37</f>
        <v>10</v>
      </c>
      <c r="X41" s="18">
        <f>G23</f>
        <v>1</v>
      </c>
    </row>
    <row r="42" ht="20.05" customHeight="1">
      <c r="T42" t="s" s="19">
        <v>2</v>
      </c>
      <c r="U42" s="20">
        <f>H23</f>
        <v>6</v>
      </c>
      <c r="V42" s="12">
        <f>SUM(I23,Q37)</f>
        <v>0</v>
      </c>
      <c r="W42" s="12">
        <f>R37</f>
        <v>10</v>
      </c>
      <c r="X42" s="12">
        <f>J23</f>
        <v>14</v>
      </c>
    </row>
    <row r="44" ht="27.65" customHeight="1">
      <c r="Y44" t="s" s="2">
        <v>97</v>
      </c>
      <c r="Z44" s="2"/>
      <c r="AA44" s="2"/>
      <c r="AB44" s="2"/>
      <c r="AC44" s="2"/>
    </row>
    <row r="45" ht="20.25" customHeight="1">
      <c r="Y45" s="15"/>
      <c r="Z45" t="s" s="3">
        <v>98</v>
      </c>
      <c r="AA45" t="s" s="3">
        <v>99</v>
      </c>
      <c r="AB45" t="s" s="3">
        <v>100</v>
      </c>
      <c r="AC45" t="s" s="3">
        <v>101</v>
      </c>
    </row>
    <row r="46" ht="20.25" customHeight="1">
      <c r="Y46" t="s" s="16">
        <v>1</v>
      </c>
      <c r="Z46" s="17">
        <f>U41/(U41+V41)</f>
        <v>0.842105263157895</v>
      </c>
      <c r="AA46" s="18">
        <f>U41/(U41+X41)</f>
        <v>0.9411764705882349</v>
      </c>
      <c r="AB46" s="18">
        <f>2*((Z46*AA46)/(Z46+AA46))</f>
        <v>0.888888888888889</v>
      </c>
      <c r="AC46" s="18">
        <f>K23/20</f>
        <v>0.95</v>
      </c>
    </row>
    <row r="47" ht="20.05" customHeight="1">
      <c r="Y47" t="s" s="19">
        <v>2</v>
      </c>
      <c r="Z47" s="20">
        <f>U42/(U42+V42)</f>
        <v>1</v>
      </c>
      <c r="AA47" s="12">
        <f>U42/(U42+X42)</f>
        <v>0.3</v>
      </c>
      <c r="AB47" s="12">
        <f>2*((Z47*AA47)/(Z47+AA47))</f>
        <v>0.461538461538462</v>
      </c>
      <c r="AC47" s="12">
        <f>L23/20</f>
        <v>0.3</v>
      </c>
    </row>
  </sheetData>
  <mergeCells count="4">
    <mergeCell ref="A1:L1"/>
    <mergeCell ref="M25:S25"/>
    <mergeCell ref="T39:X39"/>
    <mergeCell ref="Y44:AC44"/>
  </mergeCells>
  <hyperlinks>
    <hyperlink ref="B3" r:id="rId1" location="" tooltip="" display="https://www.acibadem.com.tr/ilgi-alani/acik-kalp-ameliyati/"/>
    <hyperlink ref="C3" r:id="rId2" location="" tooltip="" display="https://www.acibadem.com.tr/ilgi-alani/acik-kalp-ameliyati/"/>
    <hyperlink ref="D3" r:id="rId3" location="" tooltip="" display="https://www.acibadem.com.tr/ilgi-alani/acik-kalp-ameliyati/"/>
    <hyperlink ref="B4" r:id="rId4" location="" tooltip="" display="https://www.acibadem.com.tr/acibadem-de/onkolojik-cerrahi/"/>
    <hyperlink ref="D4" r:id="rId5" location="" tooltip="" display="https://www.acibadem.com.tr/acibadem-de/onkolojik-cerrahi/"/>
    <hyperlink ref="B5" r:id="rId6" location="" tooltip="" display="https://www.acibadem.com.tr/ilgi-alani/mide-bulantisi-neden-olur-surekli-mide-bulantisi-nedenleri/"/>
    <hyperlink ref="C5" r:id="rId7" location="" tooltip="" display="https://www.acibadem.com.tr/ilgi-alani/mide-bulantisi-neden-olur-surekli-mide-bulantisi-nedenleri/"/>
    <hyperlink ref="D5" r:id="rId8" location="" tooltip="" display="https://www.acibadem.com.tr/ilgi-alani/mide-bulantisi-neden-olur-surekli-mide-bulantisi-nedenleri/"/>
    <hyperlink ref="B6" r:id="rId9" location="" tooltip="" display="https://www.acibadem.com.tr/ilgi-alani/agiz-yarasi-nedir-belirtileri-ve-nedenleri/"/>
    <hyperlink ref="C6" r:id="rId10" location="" tooltip="" display="https://www.acibadem.com.tr/ilgi-alani/agiz-yarasi-nedir-belirtileri-ve-nedenleri/"/>
    <hyperlink ref="D6" r:id="rId11" location="" tooltip="" display="https://www.acibadem.com.tr/ilgi-alani/agiz-yarasi-nedir-belirtileri-ve-nedenleri/"/>
    <hyperlink ref="B7" r:id="rId12" location="" tooltip="" display="https://www.acibadem.com.tr/ilgi-alani/adet-gecikmesi-nedenleri-regl-gecikmesi-neden-olur/"/>
    <hyperlink ref="D7" r:id="rId13" location="" tooltip="" display="https://www.acibadem.com.tr/ilgi-alani/adet-gecikmesi-nedenleri-regl-gecikmesi-neden-olur/"/>
    <hyperlink ref="B8" r:id="rId14" location="" tooltip="" display="https://www.acibadem.com.tr/ilgi-alani/adh-vazopressin-nedir/"/>
    <hyperlink ref="D8" r:id="rId15" location="" tooltip="" display="https://www.acibadem.com.tr/ilgi-alani/adh-vazopressin-nedir/"/>
    <hyperlink ref="B9" r:id="rId16" location="" tooltip="" display="https://www.acibadem.com.tr/ilgi-alani/bel-fitigi-nedir/"/>
    <hyperlink ref="C9" r:id="rId17" location="" tooltip="" display="https://www.acibadem.com.tr/ilgi-alani/bel-fitigi-nedir/"/>
    <hyperlink ref="D9" r:id="rId18" location="" tooltip="" display="https://www.acibadem.com.tr/ilgi-alani/bel-fitigi-nedir/"/>
    <hyperlink ref="B10" r:id="rId19" location="" tooltip="" display="https://www.acibadem.com.tr/ilgi-alani/ampute-ne-demek/"/>
    <hyperlink ref="D10" r:id="rId20" location="" tooltip="" display="https://www.acibadem.com.tr/ilgi-alani/ampute-ne-demek/"/>
    <hyperlink ref="B11" r:id="rId21" location="" tooltip="" display="https://www.acibadem.com.tr/ilgi-alani/amilaz-nedir/"/>
    <hyperlink ref="D11" r:id="rId22" location="" tooltip="" display="https://www.acibadem.com.tr/ilgi-alani/amilaz-nedir/"/>
    <hyperlink ref="B12" r:id="rId23" location="" tooltip="" display="https://www.acibadem.com.tr/ilgi-alani/ameliyatsiz-goz-kapagi-estetigi/"/>
    <hyperlink ref="D12" r:id="rId24" location="" tooltip="" display="https://www.acibadem.com.tr/ilgi-alani/ameliyatsiz-goz-kapagi-estetigi/"/>
    <hyperlink ref="B13" r:id="rId25" location="" tooltip="" display="https://www.acibadem.com.tr/ilgi-alani/amiloidoz-nedir-organlarda-protein-birikimi/"/>
    <hyperlink ref="D13" r:id="rId26" location="" tooltip="" display="https://www.acibadem.com.tr/ilgi-alani/amiloidoz-nedir-organlarda-protein-birikimi/"/>
    <hyperlink ref="D14" r:id="rId27" location="" tooltip="" display="https://www.acibadem.com.tr/ilgi-alani/amok-hastaligi-nedir-ani-ofke-patlamalari/"/>
    <hyperlink ref="B15" r:id="rId28" location="" tooltip="" display="https://www.acibadem.com.tr/ilgi-alani/anoreksiya-nedir-anoreksiya-nervoza-belirtileri/"/>
    <hyperlink ref="D15" r:id="rId29" location="" tooltip="" display="https://www.acibadem.com.tr/ilgi-alani/anoreksiya-nedir-anoreksiya-nervoza-belirtileri/"/>
    <hyperlink ref="B16" r:id="rId30" location="" tooltip="" display="https://www.acibadem.com.tr/ilgi-alani/ankilozan-spondilit/"/>
    <hyperlink ref="C16" r:id="rId31" location="" tooltip="" display="https://www.acibadem.com.tr/ilgi-alani/ankilozan-spondilit/"/>
    <hyperlink ref="D16" r:id="rId32" location="" tooltip="" display="https://www.acibadem.com.tr/ilgi-alani/ankilozan-spondilit/"/>
    <hyperlink ref="B17" r:id="rId33" location="" tooltip="" display="https://www.acibadem.com.tr/ilgi-alani/anksiyete/"/>
    <hyperlink ref="D17" r:id="rId34" location="" tooltip="" display="https://www.acibadem.com.tr/ilgi-alani/anksiyete/"/>
    <hyperlink ref="B18" r:id="rId35" location="" tooltip="" display="https://www.acibadem.com.tr/ilgi-alani/baso-bazofil-nedir-yuksekligi-dusuklugu/"/>
    <hyperlink ref="D18" r:id="rId36" location="" tooltip="" display="https://www.acibadem.com.tr/ilgi-alani/baso-bazofil-nedir-yuksekligi-dusuklugu/"/>
    <hyperlink ref="B19" r:id="rId37" location="" tooltip="" display="https://www.acibadem.com.tr/ilgi-alani/antikor/"/>
    <hyperlink ref="D19" r:id="rId38" location="" tooltip="" display="https://www.acibadem.com.tr/ilgi-alani/antikor/"/>
    <hyperlink ref="B20" r:id="rId39" location="" tooltip="" display="https://www.acibadem.com.tr/ilgi-alani/ari-sokmasi/"/>
    <hyperlink ref="D20" r:id="rId40" location="" tooltip="" display="https://www.acibadem.com.tr/ilgi-alani/ari-sokmasi/"/>
    <hyperlink ref="B21" r:id="rId41" location="" tooltip="" display="https://www.acibadem.com.tr/ilgi-alani/arrest-nedir-kardiyak-arrest-nedir/"/>
    <hyperlink ref="D21" r:id="rId42" location="" tooltip="" display="https://www.acibadem.com.tr/ilgi-alani/arrest-nedir-kardiyak-arrest-nedir/"/>
    <hyperlink ref="B22" r:id="rId43" location="" tooltip="" display="https://www.acibadem.com.tr/ilgi-alani/aort-kapak-darligi-nedir/"/>
    <hyperlink ref="C22" r:id="rId44" location="" tooltip="" display="https://www.acibadem.com.tr/ilgi-alani/aort-kapak-darligi-nedir/"/>
    <hyperlink ref="D22" r:id="rId45" location="" tooltip="" display="https://www.acibadem.com.tr/ilgi-alani/aort-kapak-darligi-nedir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8.4375" style="22" customWidth="1"/>
    <col min="2" max="2" width="38.2812" style="22" customWidth="1"/>
    <col min="3" max="4" width="43" style="22" customWidth="1"/>
    <col min="5" max="5" width="15.5" style="22" customWidth="1"/>
    <col min="6" max="6" width="16.1719" style="22" customWidth="1"/>
    <col min="7" max="7" width="17" style="22" customWidth="1"/>
    <col min="8" max="8" width="15.5" style="22" customWidth="1"/>
    <col min="9" max="9" width="16.1719" style="22" customWidth="1"/>
    <col min="10" max="10" width="17" style="22" customWidth="1"/>
    <col min="11" max="12" width="31.5" style="22" customWidth="1"/>
    <col min="13" max="13" width="28.4375" style="23" customWidth="1"/>
    <col min="14" max="19" width="16.3516" style="23" customWidth="1"/>
    <col min="20" max="24" width="16.3516" style="24" customWidth="1"/>
    <col min="25" max="29" width="16.3516" style="25" customWidth="1"/>
    <col min="30" max="16384" width="16.3516" style="2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</row>
    <row r="3" ht="44.25" customHeight="1">
      <c r="A3" t="s" s="4">
        <v>12</v>
      </c>
      <c r="B3" t="s" s="5">
        <v>102</v>
      </c>
      <c r="C3" t="s" s="6">
        <v>102</v>
      </c>
      <c r="D3" t="s" s="6">
        <v>14</v>
      </c>
      <c r="E3" t="s" s="6">
        <v>15</v>
      </c>
      <c r="F3" t="s" s="6">
        <v>16</v>
      </c>
      <c r="G3" t="s" s="6">
        <v>16</v>
      </c>
      <c r="H3" t="s" s="6">
        <v>15</v>
      </c>
      <c r="I3" t="s" s="6">
        <v>16</v>
      </c>
      <c r="J3" t="s" s="6">
        <v>16</v>
      </c>
      <c r="K3" t="s" s="6">
        <v>15</v>
      </c>
      <c r="L3" t="s" s="6">
        <v>15</v>
      </c>
    </row>
    <row r="4" ht="80.05" customHeight="1">
      <c r="A4" t="s" s="7">
        <v>17</v>
      </c>
      <c r="B4" t="s" s="8">
        <v>103</v>
      </c>
      <c r="C4" t="s" s="9">
        <v>19</v>
      </c>
      <c r="D4" t="s" s="9">
        <v>20</v>
      </c>
      <c r="E4" t="s" s="9">
        <v>16</v>
      </c>
      <c r="F4" t="s" s="9">
        <v>15</v>
      </c>
      <c r="G4" t="s" s="9">
        <v>16</v>
      </c>
      <c r="H4" t="s" s="9">
        <v>16</v>
      </c>
      <c r="I4" t="s" s="9">
        <v>16</v>
      </c>
      <c r="J4" t="s" s="9">
        <v>15</v>
      </c>
      <c r="K4" t="s" s="9">
        <v>15</v>
      </c>
      <c r="L4" t="s" s="9">
        <v>16</v>
      </c>
    </row>
    <row r="5" ht="44.05" customHeight="1">
      <c r="A5" t="s" s="7">
        <v>21</v>
      </c>
      <c r="B5" t="s" s="8">
        <v>104</v>
      </c>
      <c r="C5" t="s" s="9">
        <v>104</v>
      </c>
      <c r="D5" t="s" s="9">
        <v>23</v>
      </c>
      <c r="E5" t="s" s="9">
        <v>15</v>
      </c>
      <c r="F5" t="s" s="9">
        <v>16</v>
      </c>
      <c r="G5" t="s" s="9">
        <v>16</v>
      </c>
      <c r="H5" t="s" s="9">
        <v>15</v>
      </c>
      <c r="I5" t="s" s="9">
        <v>16</v>
      </c>
      <c r="J5" t="s" s="9">
        <v>16</v>
      </c>
      <c r="K5" t="s" s="9">
        <v>15</v>
      </c>
      <c r="L5" t="s" s="9">
        <v>15</v>
      </c>
    </row>
    <row r="6" ht="92.05" customHeight="1">
      <c r="A6" t="s" s="7">
        <v>24</v>
      </c>
      <c r="B6" t="s" s="8">
        <v>105</v>
      </c>
      <c r="C6" t="s" s="9">
        <v>106</v>
      </c>
      <c r="D6" t="s" s="9">
        <v>27</v>
      </c>
      <c r="E6" t="s" s="9">
        <v>16</v>
      </c>
      <c r="F6" t="s" s="9">
        <v>15</v>
      </c>
      <c r="G6" t="s" s="9">
        <v>16</v>
      </c>
      <c r="H6" t="s" s="9">
        <v>15</v>
      </c>
      <c r="I6" t="s" s="9">
        <v>16</v>
      </c>
      <c r="J6" t="s" s="9">
        <v>16</v>
      </c>
      <c r="K6" t="s" s="9">
        <v>15</v>
      </c>
      <c r="L6" t="s" s="9">
        <v>15</v>
      </c>
    </row>
    <row r="7" ht="44.05" customHeight="1">
      <c r="A7" t="s" s="7">
        <v>28</v>
      </c>
      <c r="B7" t="s" s="8">
        <v>107</v>
      </c>
      <c r="C7" t="s" s="9">
        <v>19</v>
      </c>
      <c r="D7" t="s" s="9">
        <v>30</v>
      </c>
      <c r="E7" t="s" s="9">
        <v>15</v>
      </c>
      <c r="F7" t="s" s="9">
        <v>16</v>
      </c>
      <c r="G7" t="s" s="9">
        <v>16</v>
      </c>
      <c r="H7" t="s" s="9">
        <v>16</v>
      </c>
      <c r="I7" t="s" s="9">
        <v>16</v>
      </c>
      <c r="J7" t="s" s="9">
        <v>15</v>
      </c>
      <c r="K7" t="s" s="9">
        <v>15</v>
      </c>
      <c r="L7" t="s" s="9">
        <v>16</v>
      </c>
    </row>
    <row r="8" ht="44.05" customHeight="1">
      <c r="A8" t="s" s="7">
        <v>31</v>
      </c>
      <c r="B8" t="s" s="8">
        <v>108</v>
      </c>
      <c r="C8" t="s" s="9">
        <v>19</v>
      </c>
      <c r="D8" t="s" s="9">
        <v>33</v>
      </c>
      <c r="E8" t="s" s="9">
        <v>15</v>
      </c>
      <c r="F8" t="s" s="9">
        <v>16</v>
      </c>
      <c r="G8" t="s" s="9">
        <v>16</v>
      </c>
      <c r="H8" t="s" s="9">
        <v>16</v>
      </c>
      <c r="I8" t="s" s="9">
        <v>16</v>
      </c>
      <c r="J8" t="s" s="9">
        <v>15</v>
      </c>
      <c r="K8" t="s" s="9">
        <v>15</v>
      </c>
      <c r="L8" t="s" s="9">
        <v>16</v>
      </c>
    </row>
    <row r="9" ht="32.05" customHeight="1">
      <c r="A9" t="s" s="7">
        <v>34</v>
      </c>
      <c r="B9" t="s" s="8">
        <v>109</v>
      </c>
      <c r="C9" t="s" s="9">
        <v>109</v>
      </c>
      <c r="D9" t="s" s="9">
        <v>36</v>
      </c>
      <c r="E9" t="s" s="9">
        <v>15</v>
      </c>
      <c r="F9" t="s" s="9">
        <v>16</v>
      </c>
      <c r="G9" t="s" s="9">
        <v>16</v>
      </c>
      <c r="H9" t="s" s="9">
        <v>15</v>
      </c>
      <c r="I9" t="s" s="9">
        <v>16</v>
      </c>
      <c r="J9" t="s" s="9">
        <v>16</v>
      </c>
      <c r="K9" t="s" s="9">
        <v>15</v>
      </c>
      <c r="L9" t="s" s="9">
        <v>15</v>
      </c>
    </row>
    <row r="10" ht="44.05" customHeight="1">
      <c r="A10" t="s" s="7">
        <v>37</v>
      </c>
      <c r="B10" t="s" s="8">
        <v>38</v>
      </c>
      <c r="C10" t="s" s="9">
        <v>19</v>
      </c>
      <c r="D10" t="s" s="9">
        <v>39</v>
      </c>
      <c r="E10" t="s" s="9">
        <v>15</v>
      </c>
      <c r="F10" t="s" s="9">
        <v>16</v>
      </c>
      <c r="G10" t="s" s="9">
        <v>16</v>
      </c>
      <c r="H10" t="s" s="9">
        <v>16</v>
      </c>
      <c r="I10" t="s" s="9">
        <v>16</v>
      </c>
      <c r="J10" t="s" s="9">
        <v>15</v>
      </c>
      <c r="K10" t="s" s="9">
        <v>15</v>
      </c>
      <c r="L10" t="s" s="9">
        <v>16</v>
      </c>
    </row>
    <row r="11" ht="80.05" customHeight="1">
      <c r="A11" t="s" s="7">
        <v>40</v>
      </c>
      <c r="B11" t="s" s="8">
        <v>110</v>
      </c>
      <c r="C11" t="s" s="9">
        <v>19</v>
      </c>
      <c r="D11" t="s" s="9">
        <v>42</v>
      </c>
      <c r="E11" t="s" s="9">
        <v>16</v>
      </c>
      <c r="F11" t="s" s="9">
        <v>15</v>
      </c>
      <c r="G11" t="s" s="9">
        <v>16</v>
      </c>
      <c r="H11" t="s" s="9">
        <v>16</v>
      </c>
      <c r="I11" t="s" s="9">
        <v>16</v>
      </c>
      <c r="J11" t="s" s="9">
        <v>15</v>
      </c>
      <c r="K11" t="s" s="9">
        <v>15</v>
      </c>
      <c r="L11" t="s" s="9">
        <v>16</v>
      </c>
    </row>
    <row r="12" ht="68.05" customHeight="1">
      <c r="A12" t="s" s="7">
        <v>43</v>
      </c>
      <c r="B12" t="s" s="8">
        <v>111</v>
      </c>
      <c r="C12" t="s" s="9">
        <v>19</v>
      </c>
      <c r="D12" t="s" s="9">
        <v>45</v>
      </c>
      <c r="E12" t="s" s="9">
        <v>16</v>
      </c>
      <c r="F12" t="s" s="9">
        <v>15</v>
      </c>
      <c r="G12" t="s" s="9">
        <v>16</v>
      </c>
      <c r="H12" t="s" s="9">
        <v>16</v>
      </c>
      <c r="I12" t="s" s="9">
        <v>16</v>
      </c>
      <c r="J12" t="s" s="9">
        <v>15</v>
      </c>
      <c r="K12" t="s" s="9">
        <v>15</v>
      </c>
      <c r="L12" t="s" s="9">
        <v>16</v>
      </c>
    </row>
    <row r="13" ht="52.95" customHeight="1">
      <c r="A13" t="s" s="7">
        <v>46</v>
      </c>
      <c r="B13" t="s" s="8">
        <v>112</v>
      </c>
      <c r="C13" t="s" s="9">
        <v>19</v>
      </c>
      <c r="D13" t="s" s="9">
        <v>48</v>
      </c>
      <c r="E13" t="s" s="9">
        <v>15</v>
      </c>
      <c r="F13" t="s" s="9">
        <v>16</v>
      </c>
      <c r="G13" t="s" s="9">
        <v>16</v>
      </c>
      <c r="H13" t="s" s="9">
        <v>16</v>
      </c>
      <c r="I13" t="s" s="9">
        <v>16</v>
      </c>
      <c r="J13" t="s" s="9">
        <v>15</v>
      </c>
      <c r="K13" t="s" s="9">
        <v>15</v>
      </c>
      <c r="L13" t="s" s="9">
        <v>16</v>
      </c>
    </row>
    <row r="14" ht="37.95" customHeight="1">
      <c r="A14" t="s" s="7">
        <v>49</v>
      </c>
      <c r="B14" t="s" s="8">
        <v>19</v>
      </c>
      <c r="C14" t="s" s="9">
        <v>19</v>
      </c>
      <c r="D14" t="s" s="9">
        <v>50</v>
      </c>
      <c r="E14" t="s" s="9">
        <v>16</v>
      </c>
      <c r="F14" t="s" s="9">
        <v>16</v>
      </c>
      <c r="G14" t="s" s="9">
        <v>15</v>
      </c>
      <c r="H14" t="s" s="9">
        <v>16</v>
      </c>
      <c r="I14" t="s" s="9">
        <v>16</v>
      </c>
      <c r="J14" t="s" s="9">
        <v>15</v>
      </c>
      <c r="K14" t="s" s="9">
        <v>16</v>
      </c>
      <c r="L14" t="s" s="9">
        <v>16</v>
      </c>
    </row>
    <row r="15" ht="44.05" customHeight="1">
      <c r="A15" t="s" s="7">
        <v>51</v>
      </c>
      <c r="B15" t="s" s="8">
        <v>113</v>
      </c>
      <c r="C15" t="s" s="9">
        <v>19</v>
      </c>
      <c r="D15" t="s" s="9">
        <v>53</v>
      </c>
      <c r="E15" t="s" s="9">
        <v>15</v>
      </c>
      <c r="F15" t="s" s="9">
        <v>16</v>
      </c>
      <c r="G15" t="s" s="9">
        <v>16</v>
      </c>
      <c r="H15" t="s" s="9">
        <v>16</v>
      </c>
      <c r="I15" t="s" s="9">
        <v>16</v>
      </c>
      <c r="J15" t="s" s="9">
        <v>15</v>
      </c>
      <c r="K15" t="s" s="9">
        <v>15</v>
      </c>
      <c r="L15" t="s" s="9">
        <v>16</v>
      </c>
    </row>
    <row r="16" ht="44.05" customHeight="1">
      <c r="A16" t="s" s="7">
        <v>54</v>
      </c>
      <c r="B16" t="s" s="8">
        <v>114</v>
      </c>
      <c r="C16" t="s" s="9">
        <v>114</v>
      </c>
      <c r="D16" t="s" s="9">
        <v>56</v>
      </c>
      <c r="E16" t="s" s="9">
        <v>15</v>
      </c>
      <c r="F16" t="s" s="9">
        <v>16</v>
      </c>
      <c r="G16" t="s" s="9">
        <v>16</v>
      </c>
      <c r="H16" t="s" s="9">
        <v>15</v>
      </c>
      <c r="I16" t="s" s="9">
        <v>16</v>
      </c>
      <c r="J16" t="s" s="9">
        <v>16</v>
      </c>
      <c r="K16" t="s" s="9">
        <v>15</v>
      </c>
      <c r="L16" t="s" s="9">
        <v>15</v>
      </c>
    </row>
    <row r="17" ht="32.05" customHeight="1">
      <c r="A17" t="s" s="7">
        <v>57</v>
      </c>
      <c r="B17" t="s" s="8">
        <v>115</v>
      </c>
      <c r="C17" t="s" s="9">
        <v>19</v>
      </c>
      <c r="D17" t="s" s="9">
        <v>59</v>
      </c>
      <c r="E17" t="s" s="9">
        <v>15</v>
      </c>
      <c r="F17" t="s" s="9">
        <v>16</v>
      </c>
      <c r="G17" t="s" s="9">
        <v>16</v>
      </c>
      <c r="H17" t="s" s="9">
        <v>16</v>
      </c>
      <c r="I17" t="s" s="9">
        <v>16</v>
      </c>
      <c r="J17" t="s" s="9">
        <v>15</v>
      </c>
      <c r="K17" t="s" s="9">
        <v>15</v>
      </c>
      <c r="L17" t="s" s="9">
        <v>16</v>
      </c>
    </row>
    <row r="18" ht="44.05" customHeight="1">
      <c r="A18" t="s" s="7">
        <v>60</v>
      </c>
      <c r="B18" t="s" s="8">
        <v>116</v>
      </c>
      <c r="C18" t="s" s="9">
        <v>19</v>
      </c>
      <c r="D18" t="s" s="9">
        <v>62</v>
      </c>
      <c r="E18" t="s" s="9">
        <v>15</v>
      </c>
      <c r="F18" t="s" s="9">
        <v>16</v>
      </c>
      <c r="G18" t="s" s="9">
        <v>16</v>
      </c>
      <c r="H18" t="s" s="9">
        <v>16</v>
      </c>
      <c r="I18" t="s" s="9">
        <v>16</v>
      </c>
      <c r="J18" t="s" s="9">
        <v>15</v>
      </c>
      <c r="K18" t="s" s="9">
        <v>15</v>
      </c>
      <c r="L18" t="s" s="9">
        <v>16</v>
      </c>
    </row>
    <row r="19" ht="32.05" customHeight="1">
      <c r="A19" t="s" s="7">
        <v>63</v>
      </c>
      <c r="B19" t="s" s="8">
        <v>64</v>
      </c>
      <c r="C19" t="s" s="9">
        <v>19</v>
      </c>
      <c r="D19" t="s" s="9">
        <v>65</v>
      </c>
      <c r="E19" t="s" s="9">
        <v>15</v>
      </c>
      <c r="F19" t="s" s="9">
        <v>16</v>
      </c>
      <c r="G19" t="s" s="9">
        <v>16</v>
      </c>
      <c r="H19" t="s" s="9">
        <v>16</v>
      </c>
      <c r="I19" t="s" s="9">
        <v>16</v>
      </c>
      <c r="J19" t="s" s="9">
        <v>15</v>
      </c>
      <c r="K19" t="s" s="9">
        <v>15</v>
      </c>
      <c r="L19" t="s" s="9">
        <v>16</v>
      </c>
    </row>
    <row r="20" ht="32.05" customHeight="1">
      <c r="A20" t="s" s="7">
        <v>66</v>
      </c>
      <c r="B20" t="s" s="8">
        <v>117</v>
      </c>
      <c r="C20" t="s" s="9">
        <v>19</v>
      </c>
      <c r="D20" t="s" s="9">
        <v>68</v>
      </c>
      <c r="E20" t="s" s="9">
        <v>15</v>
      </c>
      <c r="F20" t="s" s="9">
        <v>16</v>
      </c>
      <c r="G20" t="s" s="9">
        <v>16</v>
      </c>
      <c r="H20" t="s" s="9">
        <v>16</v>
      </c>
      <c r="I20" t="s" s="9">
        <v>16</v>
      </c>
      <c r="J20" t="s" s="9">
        <v>15</v>
      </c>
      <c r="K20" t="s" s="9">
        <v>15</v>
      </c>
      <c r="L20" t="s" s="9">
        <v>16</v>
      </c>
    </row>
    <row r="21" ht="44.05" customHeight="1">
      <c r="A21" t="s" s="7">
        <v>69</v>
      </c>
      <c r="B21" t="s" s="8">
        <v>70</v>
      </c>
      <c r="C21" t="s" s="9">
        <v>19</v>
      </c>
      <c r="D21" t="s" s="9">
        <v>71</v>
      </c>
      <c r="E21" t="s" s="9">
        <v>15</v>
      </c>
      <c r="F21" t="s" s="9">
        <v>16</v>
      </c>
      <c r="G21" t="s" s="9">
        <v>16</v>
      </c>
      <c r="H21" t="s" s="9">
        <v>16</v>
      </c>
      <c r="I21" t="s" s="9">
        <v>16</v>
      </c>
      <c r="J21" t="s" s="9">
        <v>15</v>
      </c>
      <c r="K21" t="s" s="9">
        <v>15</v>
      </c>
      <c r="L21" t="s" s="9">
        <v>16</v>
      </c>
    </row>
    <row r="22" ht="80.05" customHeight="1">
      <c r="A22" t="s" s="7">
        <v>72</v>
      </c>
      <c r="B22" t="s" s="8">
        <v>118</v>
      </c>
      <c r="C22" t="s" s="9">
        <v>74</v>
      </c>
      <c r="D22" t="s" s="9">
        <v>75</v>
      </c>
      <c r="E22" t="s" s="9">
        <v>16</v>
      </c>
      <c r="F22" t="s" s="9">
        <v>15</v>
      </c>
      <c r="G22" t="s" s="9">
        <v>16</v>
      </c>
      <c r="H22" t="s" s="9">
        <v>15</v>
      </c>
      <c r="I22" t="s" s="9">
        <v>16</v>
      </c>
      <c r="J22" t="s" s="9">
        <v>16</v>
      </c>
      <c r="K22" t="s" s="9">
        <v>15</v>
      </c>
      <c r="L22" t="s" s="9">
        <v>15</v>
      </c>
    </row>
    <row r="23" ht="22.95" customHeight="1">
      <c r="A23" t="s" s="7">
        <v>76</v>
      </c>
      <c r="B23" s="10"/>
      <c r="C23" s="11"/>
      <c r="D23" s="11"/>
      <c r="E23" s="12">
        <f>COUNTIF(E3:E22,"=True")</f>
        <v>14</v>
      </c>
      <c r="F23" s="12">
        <f>COUNTIF(F3:F22,"=True")</f>
        <v>5</v>
      </c>
      <c r="G23" s="12">
        <f>COUNTIF(G3:G22,"=True")</f>
        <v>1</v>
      </c>
      <c r="H23" s="12">
        <f>COUNTIF(H3:H22,"=True")</f>
        <v>6</v>
      </c>
      <c r="I23" s="12">
        <f>COUNTIF(I3:I22,"=True")</f>
        <v>0</v>
      </c>
      <c r="J23" s="12">
        <f>COUNTIF(J3:J22,"=True")</f>
        <v>14</v>
      </c>
      <c r="K23" s="12">
        <f>COUNTIF(K3:K22,"=True")</f>
        <v>19</v>
      </c>
      <c r="L23" s="12">
        <f>COUNTIF(L3:L22,"=True")</f>
        <v>6</v>
      </c>
    </row>
    <row r="25" ht="27.65" customHeight="1">
      <c r="M25" t="s" s="2">
        <v>77</v>
      </c>
      <c r="N25" s="2"/>
      <c r="O25" s="2"/>
      <c r="P25" s="2"/>
      <c r="Q25" s="2"/>
      <c r="R25" s="2"/>
      <c r="S25" s="2"/>
    </row>
    <row r="26" ht="20.25" customHeight="1">
      <c r="M26" t="s" s="3">
        <v>77</v>
      </c>
      <c r="N26" t="s" s="3">
        <v>1</v>
      </c>
      <c r="O26" t="s" s="3">
        <v>2</v>
      </c>
      <c r="P26" t="s" s="3">
        <v>78</v>
      </c>
      <c r="Q26" t="s" s="3">
        <v>79</v>
      </c>
      <c r="R26" t="s" s="3">
        <v>80</v>
      </c>
      <c r="S26" t="s" s="3">
        <v>81</v>
      </c>
    </row>
    <row r="27" ht="38.15" customHeight="1">
      <c r="M27" t="s" s="4">
        <v>82</v>
      </c>
      <c r="N27" t="s" s="5">
        <v>19</v>
      </c>
      <c r="O27" t="s" s="6">
        <v>19</v>
      </c>
      <c r="P27" t="s" s="6">
        <v>15</v>
      </c>
      <c r="Q27" t="s" s="6">
        <v>16</v>
      </c>
      <c r="R27" t="s" s="6">
        <v>15</v>
      </c>
      <c r="S27" t="s" s="6">
        <v>16</v>
      </c>
    </row>
    <row r="28" ht="37.95" customHeight="1">
      <c r="M28" t="s" s="7">
        <v>83</v>
      </c>
      <c r="N28" t="s" s="8">
        <v>19</v>
      </c>
      <c r="O28" t="s" s="9">
        <v>19</v>
      </c>
      <c r="P28" t="s" s="9">
        <v>15</v>
      </c>
      <c r="Q28" t="s" s="9">
        <v>16</v>
      </c>
      <c r="R28" t="s" s="9">
        <v>15</v>
      </c>
      <c r="S28" t="s" s="9">
        <v>16</v>
      </c>
    </row>
    <row r="29" ht="22.95" customHeight="1">
      <c r="M29" t="s" s="7">
        <v>84</v>
      </c>
      <c r="N29" t="s" s="8">
        <v>19</v>
      </c>
      <c r="O29" t="s" s="9">
        <v>19</v>
      </c>
      <c r="P29" t="s" s="9">
        <v>15</v>
      </c>
      <c r="Q29" t="s" s="9">
        <v>16</v>
      </c>
      <c r="R29" t="s" s="9">
        <v>15</v>
      </c>
      <c r="S29" t="s" s="9">
        <v>16</v>
      </c>
    </row>
    <row r="30" ht="37.95" customHeight="1">
      <c r="M30" t="s" s="7">
        <v>85</v>
      </c>
      <c r="N30" t="s" s="8">
        <v>19</v>
      </c>
      <c r="O30" t="s" s="9">
        <v>19</v>
      </c>
      <c r="P30" t="s" s="9">
        <v>15</v>
      </c>
      <c r="Q30" t="s" s="9">
        <v>16</v>
      </c>
      <c r="R30" t="s" s="9">
        <v>15</v>
      </c>
      <c r="S30" t="s" s="9">
        <v>16</v>
      </c>
    </row>
    <row r="31" ht="37.95" customHeight="1">
      <c r="M31" t="s" s="7">
        <v>86</v>
      </c>
      <c r="N31" t="s" s="8">
        <v>19</v>
      </c>
      <c r="O31" t="s" s="9">
        <v>19</v>
      </c>
      <c r="P31" t="s" s="9">
        <v>15</v>
      </c>
      <c r="Q31" t="s" s="9">
        <v>16</v>
      </c>
      <c r="R31" t="s" s="9">
        <v>15</v>
      </c>
      <c r="S31" t="s" s="9">
        <v>16</v>
      </c>
    </row>
    <row r="32" ht="22.95" customHeight="1">
      <c r="M32" t="s" s="7">
        <v>87</v>
      </c>
      <c r="N32" t="s" s="8">
        <v>19</v>
      </c>
      <c r="O32" t="s" s="9">
        <v>19</v>
      </c>
      <c r="P32" t="s" s="9">
        <v>15</v>
      </c>
      <c r="Q32" t="s" s="9">
        <v>16</v>
      </c>
      <c r="R32" t="s" s="9">
        <v>15</v>
      </c>
      <c r="S32" t="s" s="9">
        <v>16</v>
      </c>
    </row>
    <row r="33" ht="37.95" customHeight="1">
      <c r="M33" t="s" s="7">
        <v>88</v>
      </c>
      <c r="N33" t="s" s="8">
        <v>19</v>
      </c>
      <c r="O33" t="s" s="9">
        <v>19</v>
      </c>
      <c r="P33" t="s" s="9">
        <v>15</v>
      </c>
      <c r="Q33" t="s" s="9">
        <v>16</v>
      </c>
      <c r="R33" t="s" s="9">
        <v>15</v>
      </c>
      <c r="S33" t="s" s="9">
        <v>16</v>
      </c>
    </row>
    <row r="34" ht="22.95" customHeight="1">
      <c r="M34" t="s" s="7">
        <v>89</v>
      </c>
      <c r="N34" t="s" s="8">
        <v>19</v>
      </c>
      <c r="O34" t="s" s="9">
        <v>19</v>
      </c>
      <c r="P34" t="s" s="9">
        <v>15</v>
      </c>
      <c r="Q34" t="s" s="9">
        <v>16</v>
      </c>
      <c r="R34" t="s" s="9">
        <v>15</v>
      </c>
      <c r="S34" t="s" s="9">
        <v>16</v>
      </c>
    </row>
    <row r="35" ht="22.95" customHeight="1">
      <c r="M35" t="s" s="7">
        <v>90</v>
      </c>
      <c r="N35" t="s" s="8">
        <v>19</v>
      </c>
      <c r="O35" t="s" s="9">
        <v>19</v>
      </c>
      <c r="P35" t="s" s="9">
        <v>15</v>
      </c>
      <c r="Q35" t="s" s="9">
        <v>16</v>
      </c>
      <c r="R35" t="s" s="9">
        <v>15</v>
      </c>
      <c r="S35" t="s" s="9">
        <v>16</v>
      </c>
    </row>
    <row r="36" ht="80.05" customHeight="1">
      <c r="M36" t="s" s="7">
        <v>91</v>
      </c>
      <c r="N36" t="s" s="8">
        <v>119</v>
      </c>
      <c r="O36" t="s" s="9">
        <v>19</v>
      </c>
      <c r="P36" t="s" s="9">
        <v>16</v>
      </c>
      <c r="Q36" t="s" s="9">
        <v>15</v>
      </c>
      <c r="R36" t="s" s="9">
        <v>15</v>
      </c>
      <c r="S36" t="s" s="9">
        <v>16</v>
      </c>
    </row>
    <row r="37" ht="22.95" customHeight="1">
      <c r="M37" t="s" s="7">
        <v>76</v>
      </c>
      <c r="N37" s="10"/>
      <c r="O37" s="11"/>
      <c r="P37" s="12">
        <f>COUNTIF(P27:P36,"=True")</f>
        <v>9</v>
      </c>
      <c r="Q37" s="12">
        <f>COUNTIF(Q27:Q36,"=True")</f>
        <v>1</v>
      </c>
      <c r="R37" s="12">
        <f>COUNTIF(R27:R36,"=True")</f>
        <v>10</v>
      </c>
      <c r="S37" s="12">
        <f>COUNTIF(S27:S36,"=True")</f>
        <v>0</v>
      </c>
    </row>
    <row r="39" ht="27.65" customHeight="1">
      <c r="T39" t="s" s="2">
        <v>92</v>
      </c>
      <c r="U39" s="2"/>
      <c r="V39" s="2"/>
      <c r="W39" s="2"/>
      <c r="X39" s="2"/>
    </row>
    <row r="40" ht="20.25" customHeight="1">
      <c r="T40" s="15"/>
      <c r="U40" t="s" s="3">
        <v>93</v>
      </c>
      <c r="V40" t="s" s="3">
        <v>94</v>
      </c>
      <c r="W40" t="s" s="3">
        <v>95</v>
      </c>
      <c r="X40" t="s" s="3">
        <v>96</v>
      </c>
    </row>
    <row r="41" ht="20.25" customHeight="1">
      <c r="T41" t="s" s="16">
        <v>1</v>
      </c>
      <c r="U41" s="17">
        <f>E23</f>
        <v>14</v>
      </c>
      <c r="V41" s="18">
        <f>F23+Q37</f>
        <v>6</v>
      </c>
      <c r="W41" s="18">
        <f>P37</f>
        <v>9</v>
      </c>
      <c r="X41" s="18">
        <f>G23</f>
        <v>1</v>
      </c>
    </row>
    <row r="42" ht="20.05" customHeight="1">
      <c r="T42" t="s" s="19">
        <v>2</v>
      </c>
      <c r="U42" s="20">
        <f>H23</f>
        <v>6</v>
      </c>
      <c r="V42" s="12">
        <f>I23+S37</f>
        <v>0</v>
      </c>
      <c r="W42" s="12">
        <f>R37</f>
        <v>10</v>
      </c>
      <c r="X42" s="12">
        <f>J23</f>
        <v>14</v>
      </c>
    </row>
    <row r="44" ht="27.65" customHeight="1">
      <c r="Y44" t="s" s="2">
        <v>97</v>
      </c>
      <c r="Z44" s="2"/>
      <c r="AA44" s="2"/>
      <c r="AB44" s="2"/>
      <c r="AC44" s="2"/>
    </row>
    <row r="45" ht="20.25" customHeight="1">
      <c r="Y45" s="15"/>
      <c r="Z45" t="s" s="3">
        <v>98</v>
      </c>
      <c r="AA45" t="s" s="3">
        <v>99</v>
      </c>
      <c r="AB45" t="s" s="3">
        <v>100</v>
      </c>
      <c r="AC45" t="s" s="3">
        <v>101</v>
      </c>
    </row>
    <row r="46" ht="20.25" customHeight="1">
      <c r="Y46" t="s" s="16">
        <v>1</v>
      </c>
      <c r="Z46" s="17">
        <f>U41/(U41+V41)</f>
        <v>0.7</v>
      </c>
      <c r="AA46" s="18">
        <f>U41/(U41+X41)</f>
        <v>0.933333333333333</v>
      </c>
      <c r="AB46" s="18">
        <f>2*((Z46*AA46)/(Z46+AA46))</f>
        <v>0.8</v>
      </c>
      <c r="AC46" s="18">
        <f>K23/20</f>
        <v>0.95</v>
      </c>
    </row>
    <row r="47" ht="20.05" customHeight="1">
      <c r="Y47" t="s" s="19">
        <v>2</v>
      </c>
      <c r="Z47" s="20">
        <f>U42/(U42+V42)</f>
        <v>1</v>
      </c>
      <c r="AA47" s="12">
        <f>U42/(U42+X42)</f>
        <v>0.3</v>
      </c>
      <c r="AB47" s="12">
        <f>2*((Z47*AA47)/(Z47+AA47))</f>
        <v>0.461538461538462</v>
      </c>
      <c r="AC47" s="12">
        <f>L23/20</f>
        <v>0.3</v>
      </c>
    </row>
  </sheetData>
  <mergeCells count="4">
    <mergeCell ref="A1:L1"/>
    <mergeCell ref="M25:S25"/>
    <mergeCell ref="T39:X39"/>
    <mergeCell ref="Y44:AC44"/>
  </mergeCells>
  <hyperlinks>
    <hyperlink ref="B3" r:id="rId1" location="" tooltip="" display="https://www.acibadem.com.tr/ilgi-alani/acik-kalp-ameliyati/"/>
    <hyperlink ref="C3" r:id="rId2" location="" tooltip="" display="https://www.acibadem.com.tr/ilgi-alani/acik-kalp-ameliyati/"/>
    <hyperlink ref="D3" r:id="rId3" location="" tooltip="" display="https://www.acibadem.com.tr/ilgi-alani/acik-kalp-ameliyati/"/>
    <hyperlink ref="B4" r:id="rId4" location="" tooltip="" display="https://www.acibadem.com.tr/acibadem-de/onkolojik-cerrahi/"/>
    <hyperlink ref="D4" r:id="rId5" location="" tooltip="" display="https://www.acibadem.com.tr/acibadem-de/onkolojik-cerrahi/"/>
    <hyperlink ref="B5" r:id="rId6" location="" tooltip="" display="https://www.acibadem.com.tr/ilgi-alani/mide-bulantisi-neden-olur-surekli-mide-bulantisi-nedenleri/"/>
    <hyperlink ref="C5" r:id="rId7" location="" tooltip="" display="https://www.acibadem.com.tr/ilgi-alani/mide-bulantisi-neden-olur-surekli-mide-bulantisi-nedenleri/"/>
    <hyperlink ref="D5" r:id="rId8" location="" tooltip="" display="https://www.acibadem.com.tr/ilgi-alani/mide-bulantisi-neden-olur-surekli-mide-bulantisi-nedenleri/"/>
    <hyperlink ref="B6" r:id="rId9" location="" tooltip="" display="https://www.acibadem.com.tr/ilgi-alani/agiz-yarasi-nedir-belirtileri-ve-nedenleri/"/>
    <hyperlink ref="C6" r:id="rId10" location="" tooltip="" display="https://www.acibadem.com.tr/ilgi-alani/agiz-yarasi-nedir-belirtileri-ve-nedenleri/"/>
    <hyperlink ref="D6" r:id="rId11" location="" tooltip="" display="https://www.acibadem.com.tr/ilgi-alani/agiz-yarasi-nedir-belirtileri-ve-nedenleri/"/>
    <hyperlink ref="B7" r:id="rId12" location="" tooltip="" display="https://www.acibadem.com.tr/ilgi-alani/adet-gecikmesi-nedenleri-regl-gecikmesi-neden-olur/"/>
    <hyperlink ref="D7" r:id="rId13" location="" tooltip="" display="https://www.acibadem.com.tr/ilgi-alani/adet-gecikmesi-nedenleri-regl-gecikmesi-neden-olur/"/>
    <hyperlink ref="B8" r:id="rId14" location="" tooltip="" display="https://www.acibadem.com.tr/ilgi-alani/adh-vazopressin-nedir/"/>
    <hyperlink ref="D8" r:id="rId15" location="" tooltip="" display="https://www.acibadem.com.tr/ilgi-alani/adh-vazopressin-nedir/"/>
    <hyperlink ref="B9" r:id="rId16" location="" tooltip="" display="https://www.acibadem.com.tr/ilgi-alani/bel-fitigi-nedir/"/>
    <hyperlink ref="C9" r:id="rId17" location="" tooltip="" display="https://www.acibadem.com.tr/ilgi-alani/bel-fitigi-nedir/"/>
    <hyperlink ref="D9" r:id="rId18" location="" tooltip="" display="https://www.acibadem.com.tr/ilgi-alani/bel-fitigi-nedir/"/>
    <hyperlink ref="B10" r:id="rId19" location="" tooltip="" display="https://www.acibadem.com.tr/ilgi-alani/ampute-ne-demek/"/>
    <hyperlink ref="D10" r:id="rId20" location="" tooltip="" display="https://www.acibadem.com.tr/ilgi-alani/ampute-ne-demek/"/>
    <hyperlink ref="B11" r:id="rId21" location="" tooltip="" display="https://www.acibadem.com.tr/ilgi-alani/amilaz-nedir/"/>
    <hyperlink ref="D11" r:id="rId22" location="" tooltip="" display="https://www.acibadem.com.tr/ilgi-alani/amilaz-nedir/"/>
    <hyperlink ref="B12" r:id="rId23" location="" tooltip="" display="https://www.acibadem.com.tr/ilgi-alani/ameliyatsiz-goz-kapagi-estetigi/"/>
    <hyperlink ref="D12" r:id="rId24" location="" tooltip="" display="https://www.acibadem.com.tr/ilgi-alani/ameliyatsiz-goz-kapagi-estetigi/"/>
    <hyperlink ref="B13" r:id="rId25" location="" tooltip="" display="https://www.acibadem.com.tr/ilgi-alani/amiloidoz-nedir-organlarda-protein-birikimi/"/>
    <hyperlink ref="D13" r:id="rId26" location="" tooltip="" display="https://www.acibadem.com.tr/ilgi-alani/amiloidoz-nedir-organlarda-protein-birikimi/"/>
    <hyperlink ref="D14" r:id="rId27" location="" tooltip="" display="https://www.acibadem.com.tr/ilgi-alani/amok-hastaligi-nedir-ani-ofke-patlamalari/"/>
    <hyperlink ref="B15" r:id="rId28" location="" tooltip="" display="https://www.acibadem.com.tr/ilgi-alani/anoreksiya-nedir-anoreksiya-nervoza-belirtileri/"/>
    <hyperlink ref="D15" r:id="rId29" location="" tooltip="" display="https://www.acibadem.com.tr/ilgi-alani/anoreksiya-nedir-anoreksiya-nervoza-belirtileri/"/>
    <hyperlink ref="B16" r:id="rId30" location="" tooltip="" display="https://www.acibadem.com.tr/ilgi-alani/ankilozan-spondilit/"/>
    <hyperlink ref="C16" r:id="rId31" location="" tooltip="" display="https://www.acibadem.com.tr/ilgi-alani/ankilozan-spondilit/"/>
    <hyperlink ref="D16" r:id="rId32" location="" tooltip="" display="https://www.acibadem.com.tr/ilgi-alani/ankilozan-spondilit/"/>
    <hyperlink ref="B17" r:id="rId33" location="" tooltip="" display="https://www.acibadem.com.tr/ilgi-alani/anksiyete/"/>
    <hyperlink ref="D17" r:id="rId34" location="" tooltip="" display="https://www.acibadem.com.tr/ilgi-alani/anksiyete/"/>
    <hyperlink ref="B18" r:id="rId35" location="" tooltip="" display="https://www.acibadem.com.tr/ilgi-alani/baso-bazofil-nedir-yuksekligi-dusuklugu/"/>
    <hyperlink ref="D18" r:id="rId36" location="" tooltip="" display="https://www.acibadem.com.tr/ilgi-alani/baso-bazofil-nedir-yuksekligi-dusuklugu/"/>
    <hyperlink ref="B19" r:id="rId37" location="" tooltip="" display="https://www.acibadem.com.tr/ilgi-alani/antikor/"/>
    <hyperlink ref="D19" r:id="rId38" location="" tooltip="" display="https://www.acibadem.com.tr/ilgi-alani/antikor/"/>
    <hyperlink ref="B20" r:id="rId39" location="" tooltip="" display="https://www.acibadem.com.tr/ilgi-alani/ari-sokmasi/"/>
    <hyperlink ref="D20" r:id="rId40" location="" tooltip="" display="https://www.acibadem.com.tr/ilgi-alani/ari-sokmasi/"/>
    <hyperlink ref="B21" r:id="rId41" location="" tooltip="" display="https://www.acibadem.com.tr/ilgi-alani/arrest-nedir-kardiyak-arrest-nedir/"/>
    <hyperlink ref="D21" r:id="rId42" location="" tooltip="" display="https://www.acibadem.com.tr/ilgi-alani/arrest-nedir-kardiyak-arrest-nedir/"/>
    <hyperlink ref="B22" r:id="rId43" location="" tooltip="" display="https://www.acibadem.com.tr/ilgi-alani/aort-kapak-darligi-nedir/"/>
    <hyperlink ref="C22" r:id="rId44" location="" tooltip="" display="https://www.acibadem.com.tr/ilgi-alani/aort-kapak-darligi-nedir/"/>
    <hyperlink ref="D22" r:id="rId45" location="" tooltip="" display="https://www.acibadem.com.tr/ilgi-alani/aort-kapak-darligi-nedir/"/>
    <hyperlink ref="N36" r:id="rId46" location="" tooltip="" display="https://www.acibadem.com.tr/ilgi-alani/araknoid-kist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8.4375" style="26" customWidth="1"/>
    <col min="2" max="2" width="38.2812" style="26" customWidth="1"/>
    <col min="3" max="4" width="43" style="26" customWidth="1"/>
    <col min="5" max="5" width="15.5" style="26" customWidth="1"/>
    <col min="6" max="6" width="16.1719" style="26" customWidth="1"/>
    <col min="7" max="7" width="17" style="26" customWidth="1"/>
    <col min="8" max="8" width="15.5" style="26" customWidth="1"/>
    <col min="9" max="9" width="16.1719" style="26" customWidth="1"/>
    <col min="10" max="10" width="17" style="26" customWidth="1"/>
    <col min="11" max="12" width="31.5" style="26" customWidth="1"/>
    <col min="13" max="13" width="28.4375" style="27" customWidth="1"/>
    <col min="14" max="19" width="16.3516" style="27" customWidth="1"/>
    <col min="20" max="24" width="16.3516" style="28" customWidth="1"/>
    <col min="25" max="29" width="16.3516" style="29" customWidth="1"/>
    <col min="30" max="16384" width="16.3516" style="2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</row>
    <row r="3" ht="872.25" customHeight="1">
      <c r="A3" t="s" s="4">
        <v>12</v>
      </c>
      <c r="B3" t="s" s="5">
        <v>120</v>
      </c>
      <c r="C3" t="s" s="6">
        <v>121</v>
      </c>
      <c r="D3" t="s" s="6">
        <v>14</v>
      </c>
      <c r="E3" t="s" s="6">
        <v>15</v>
      </c>
      <c r="F3" t="s" s="6">
        <v>16</v>
      </c>
      <c r="G3" t="s" s="6">
        <v>15</v>
      </c>
      <c r="H3" t="s" s="6">
        <v>15</v>
      </c>
      <c r="I3" t="s" s="6">
        <v>16</v>
      </c>
      <c r="J3" t="s" s="6">
        <v>15</v>
      </c>
      <c r="K3" t="s" s="6">
        <v>15</v>
      </c>
      <c r="L3" t="s" s="6">
        <v>15</v>
      </c>
    </row>
    <row r="4" ht="836.05" customHeight="1">
      <c r="A4" t="s" s="7">
        <v>17</v>
      </c>
      <c r="B4" t="s" s="8">
        <v>122</v>
      </c>
      <c r="C4" t="s" s="9">
        <v>123</v>
      </c>
      <c r="D4" t="s" s="9">
        <v>20</v>
      </c>
      <c r="E4" t="s" s="9">
        <v>16</v>
      </c>
      <c r="F4" t="s" s="9">
        <v>15</v>
      </c>
      <c r="G4" t="s" s="9">
        <v>16</v>
      </c>
      <c r="H4" t="s" s="9">
        <v>15</v>
      </c>
      <c r="I4" t="s" s="9">
        <v>15</v>
      </c>
      <c r="J4" t="s" s="9">
        <v>16</v>
      </c>
      <c r="K4" t="s" s="9">
        <v>15</v>
      </c>
      <c r="L4" t="s" s="9">
        <v>15</v>
      </c>
    </row>
    <row r="5" ht="944.05" customHeight="1">
      <c r="A5" t="s" s="7">
        <v>21</v>
      </c>
      <c r="B5" t="s" s="8">
        <v>124</v>
      </c>
      <c r="C5" t="s" s="9">
        <v>125</v>
      </c>
      <c r="D5" t="s" s="9">
        <v>23</v>
      </c>
      <c r="E5" t="s" s="9">
        <v>16</v>
      </c>
      <c r="F5" t="s" s="9">
        <v>15</v>
      </c>
      <c r="G5" t="s" s="9">
        <v>16</v>
      </c>
      <c r="H5" t="s" s="9">
        <v>16</v>
      </c>
      <c r="I5" t="s" s="9">
        <v>15</v>
      </c>
      <c r="J5" t="s" s="9">
        <v>16</v>
      </c>
      <c r="K5" t="s" s="9">
        <v>15</v>
      </c>
      <c r="L5" t="s" s="9">
        <v>15</v>
      </c>
    </row>
    <row r="6" ht="320.05" customHeight="1">
      <c r="A6" t="s" s="7">
        <v>24</v>
      </c>
      <c r="B6" t="s" s="8">
        <v>126</v>
      </c>
      <c r="C6" t="s" s="9">
        <v>127</v>
      </c>
      <c r="D6" t="s" s="9">
        <v>27</v>
      </c>
      <c r="E6" t="s" s="9">
        <v>15</v>
      </c>
      <c r="F6" t="s" s="9">
        <v>16</v>
      </c>
      <c r="G6" t="s" s="9">
        <v>15</v>
      </c>
      <c r="H6" t="s" s="9">
        <v>15</v>
      </c>
      <c r="I6" t="s" s="9">
        <v>16</v>
      </c>
      <c r="J6" t="s" s="9">
        <v>15</v>
      </c>
      <c r="K6" t="s" s="9">
        <v>15</v>
      </c>
      <c r="L6" t="s" s="9">
        <v>15</v>
      </c>
    </row>
    <row r="7" ht="692.05" customHeight="1">
      <c r="A7" t="s" s="7">
        <v>28</v>
      </c>
      <c r="B7" t="s" s="8">
        <v>128</v>
      </c>
      <c r="C7" t="s" s="9">
        <v>129</v>
      </c>
      <c r="D7" t="s" s="9">
        <v>30</v>
      </c>
      <c r="E7" t="s" s="9">
        <v>16</v>
      </c>
      <c r="F7" t="s" s="9">
        <v>15</v>
      </c>
      <c r="G7" t="s" s="9">
        <v>16</v>
      </c>
      <c r="H7" t="s" s="9">
        <v>15</v>
      </c>
      <c r="I7" t="s" s="9">
        <v>16</v>
      </c>
      <c r="J7" t="s" s="9">
        <v>16</v>
      </c>
      <c r="K7" t="s" s="9">
        <v>15</v>
      </c>
      <c r="L7" t="s" s="9">
        <v>15</v>
      </c>
    </row>
    <row r="8" ht="152.05" customHeight="1">
      <c r="A8" t="s" s="7">
        <v>31</v>
      </c>
      <c r="B8" t="s" s="8">
        <v>130</v>
      </c>
      <c r="C8" t="s" s="9">
        <v>19</v>
      </c>
      <c r="D8" t="s" s="9">
        <v>33</v>
      </c>
      <c r="E8" t="s" s="9">
        <v>16</v>
      </c>
      <c r="F8" t="s" s="9">
        <v>15</v>
      </c>
      <c r="G8" t="s" s="9">
        <v>16</v>
      </c>
      <c r="H8" t="s" s="9">
        <v>16</v>
      </c>
      <c r="I8" t="s" s="9">
        <v>16</v>
      </c>
      <c r="J8" t="s" s="9">
        <v>15</v>
      </c>
      <c r="K8" t="s" s="9">
        <v>15</v>
      </c>
      <c r="L8" t="s" s="9">
        <v>16</v>
      </c>
    </row>
    <row r="9" ht="176.05" customHeight="1">
      <c r="A9" t="s" s="7">
        <v>34</v>
      </c>
      <c r="B9" t="s" s="8">
        <v>131</v>
      </c>
      <c r="C9" t="s" s="9">
        <v>132</v>
      </c>
      <c r="D9" t="s" s="9">
        <v>36</v>
      </c>
      <c r="E9" t="s" s="9">
        <v>16</v>
      </c>
      <c r="F9" t="s" s="9">
        <v>15</v>
      </c>
      <c r="G9" t="s" s="9">
        <v>16</v>
      </c>
      <c r="H9" t="s" s="9">
        <v>16</v>
      </c>
      <c r="I9" t="s" s="9">
        <v>15</v>
      </c>
      <c r="J9" t="s" s="9">
        <v>16</v>
      </c>
      <c r="K9" t="s" s="9">
        <v>15</v>
      </c>
      <c r="L9" t="s" s="9">
        <v>15</v>
      </c>
    </row>
    <row r="10" ht="176.05" customHeight="1">
      <c r="A10" t="s" s="7">
        <v>37</v>
      </c>
      <c r="B10" t="s" s="8">
        <v>133</v>
      </c>
      <c r="C10" t="s" s="9">
        <v>134</v>
      </c>
      <c r="D10" t="s" s="9">
        <v>39</v>
      </c>
      <c r="E10" t="s" s="9">
        <v>16</v>
      </c>
      <c r="F10" t="s" s="9">
        <v>15</v>
      </c>
      <c r="G10" t="s" s="9">
        <v>16</v>
      </c>
      <c r="H10" t="s" s="9">
        <v>15</v>
      </c>
      <c r="I10" t="s" s="9">
        <v>16</v>
      </c>
      <c r="J10" t="s" s="9">
        <v>16</v>
      </c>
      <c r="K10" t="s" s="9">
        <v>15</v>
      </c>
      <c r="L10" t="s" s="9">
        <v>15</v>
      </c>
    </row>
    <row r="11" ht="116.05" customHeight="1">
      <c r="A11" t="s" s="7">
        <v>40</v>
      </c>
      <c r="B11" t="s" s="8">
        <v>135</v>
      </c>
      <c r="C11" t="s" s="9">
        <v>136</v>
      </c>
      <c r="D11" t="s" s="9">
        <v>42</v>
      </c>
      <c r="E11" t="s" s="9">
        <v>16</v>
      </c>
      <c r="F11" t="s" s="9">
        <v>15</v>
      </c>
      <c r="G11" t="s" s="9">
        <v>16</v>
      </c>
      <c r="H11" t="s" s="9">
        <v>15</v>
      </c>
      <c r="I11" t="s" s="9">
        <v>16</v>
      </c>
      <c r="J11" t="s" s="9">
        <v>16</v>
      </c>
      <c r="K11" t="s" s="9">
        <v>15</v>
      </c>
      <c r="L11" t="s" s="9">
        <v>15</v>
      </c>
    </row>
    <row r="12" ht="212.05" customHeight="1">
      <c r="A12" t="s" s="7">
        <v>43</v>
      </c>
      <c r="B12" t="s" s="8">
        <v>137</v>
      </c>
      <c r="C12" t="s" s="9">
        <v>138</v>
      </c>
      <c r="D12" t="s" s="9">
        <v>45</v>
      </c>
      <c r="E12" t="s" s="9">
        <v>16</v>
      </c>
      <c r="F12" t="s" s="9">
        <v>15</v>
      </c>
      <c r="G12" t="s" s="9">
        <v>16</v>
      </c>
      <c r="H12" t="s" s="9">
        <v>15</v>
      </c>
      <c r="I12" t="s" s="9">
        <v>16</v>
      </c>
      <c r="J12" t="s" s="9">
        <v>16</v>
      </c>
      <c r="K12" t="s" s="9">
        <v>15</v>
      </c>
      <c r="L12" t="s" s="9">
        <v>15</v>
      </c>
    </row>
    <row r="13" ht="200.05" customHeight="1">
      <c r="A13" t="s" s="7">
        <v>46</v>
      </c>
      <c r="B13" t="s" s="8">
        <v>139</v>
      </c>
      <c r="C13" t="s" s="9">
        <v>140</v>
      </c>
      <c r="D13" t="s" s="9">
        <v>48</v>
      </c>
      <c r="E13" t="s" s="9">
        <v>16</v>
      </c>
      <c r="F13" t="s" s="9">
        <v>15</v>
      </c>
      <c r="G13" t="s" s="9">
        <v>16</v>
      </c>
      <c r="H13" t="s" s="9">
        <v>15</v>
      </c>
      <c r="I13" t="s" s="9">
        <v>16</v>
      </c>
      <c r="J13" t="s" s="9">
        <v>16</v>
      </c>
      <c r="K13" t="s" s="9">
        <v>15</v>
      </c>
      <c r="L13" t="s" s="9">
        <v>15</v>
      </c>
    </row>
    <row r="14" ht="248.05" customHeight="1">
      <c r="A14" t="s" s="7">
        <v>49</v>
      </c>
      <c r="B14" t="s" s="8">
        <v>141</v>
      </c>
      <c r="C14" t="s" s="9">
        <v>142</v>
      </c>
      <c r="D14" t="s" s="9">
        <v>50</v>
      </c>
      <c r="E14" t="s" s="9">
        <v>16</v>
      </c>
      <c r="F14" t="s" s="9">
        <v>15</v>
      </c>
      <c r="G14" t="s" s="9">
        <v>16</v>
      </c>
      <c r="H14" t="s" s="9">
        <v>15</v>
      </c>
      <c r="I14" t="s" s="9">
        <v>16</v>
      </c>
      <c r="J14" t="s" s="9">
        <v>16</v>
      </c>
      <c r="K14" t="s" s="9">
        <v>15</v>
      </c>
      <c r="L14" t="s" s="9">
        <v>15</v>
      </c>
    </row>
    <row r="15" ht="236.05" customHeight="1">
      <c r="A15" t="s" s="7">
        <v>51</v>
      </c>
      <c r="B15" t="s" s="8">
        <v>143</v>
      </c>
      <c r="C15" t="s" s="9">
        <v>144</v>
      </c>
      <c r="D15" t="s" s="9">
        <v>53</v>
      </c>
      <c r="E15" t="s" s="9">
        <v>16</v>
      </c>
      <c r="F15" t="s" s="9">
        <v>15</v>
      </c>
      <c r="G15" t="s" s="9">
        <v>16</v>
      </c>
      <c r="H15" t="s" s="9">
        <v>15</v>
      </c>
      <c r="I15" t="s" s="9">
        <v>16</v>
      </c>
      <c r="J15" t="s" s="9">
        <v>16</v>
      </c>
      <c r="K15" t="s" s="9">
        <v>15</v>
      </c>
      <c r="L15" t="s" s="9">
        <v>15</v>
      </c>
    </row>
    <row r="16" ht="176.05" customHeight="1">
      <c r="A16" t="s" s="7">
        <v>54</v>
      </c>
      <c r="B16" t="s" s="8">
        <v>145</v>
      </c>
      <c r="C16" t="s" s="9">
        <v>146</v>
      </c>
      <c r="D16" t="s" s="9">
        <v>56</v>
      </c>
      <c r="E16" t="s" s="9">
        <v>16</v>
      </c>
      <c r="F16" t="s" s="9">
        <v>15</v>
      </c>
      <c r="G16" t="s" s="9">
        <v>16</v>
      </c>
      <c r="H16" t="s" s="9">
        <v>15</v>
      </c>
      <c r="I16" t="s" s="9">
        <v>16</v>
      </c>
      <c r="J16" t="s" s="9">
        <v>16</v>
      </c>
      <c r="K16" t="s" s="9">
        <v>15</v>
      </c>
      <c r="L16" t="s" s="9">
        <v>15</v>
      </c>
    </row>
    <row r="17" ht="380.05" customHeight="1">
      <c r="A17" t="s" s="7">
        <v>57</v>
      </c>
      <c r="B17" t="s" s="8">
        <v>147</v>
      </c>
      <c r="C17" t="s" s="9">
        <v>148</v>
      </c>
      <c r="D17" t="s" s="9">
        <v>59</v>
      </c>
      <c r="E17" t="s" s="9">
        <v>16</v>
      </c>
      <c r="F17" t="s" s="9">
        <v>15</v>
      </c>
      <c r="G17" t="s" s="9">
        <v>16</v>
      </c>
      <c r="H17" t="s" s="9">
        <v>15</v>
      </c>
      <c r="I17" t="s" s="9">
        <v>16</v>
      </c>
      <c r="J17" t="s" s="9">
        <v>16</v>
      </c>
      <c r="K17" t="s" s="9">
        <v>15</v>
      </c>
      <c r="L17" t="s" s="9">
        <v>15</v>
      </c>
    </row>
    <row r="18" ht="44.05" customHeight="1">
      <c r="A18" t="s" s="7">
        <v>60</v>
      </c>
      <c r="B18" t="s" s="8">
        <v>149</v>
      </c>
      <c r="C18" t="s" s="9">
        <v>149</v>
      </c>
      <c r="D18" t="s" s="9">
        <v>62</v>
      </c>
      <c r="E18" t="s" s="9">
        <v>15</v>
      </c>
      <c r="F18" t="s" s="9">
        <v>16</v>
      </c>
      <c r="G18" t="s" s="9">
        <v>16</v>
      </c>
      <c r="H18" t="s" s="9">
        <v>15</v>
      </c>
      <c r="I18" t="s" s="9">
        <v>16</v>
      </c>
      <c r="J18" t="s" s="9">
        <v>16</v>
      </c>
      <c r="K18" t="s" s="9">
        <v>15</v>
      </c>
      <c r="L18" t="s" s="9">
        <v>15</v>
      </c>
    </row>
    <row r="19" ht="188.05" customHeight="1">
      <c r="A19" t="s" s="7">
        <v>63</v>
      </c>
      <c r="B19" t="s" s="8">
        <v>150</v>
      </c>
      <c r="C19" t="s" s="9">
        <v>151</v>
      </c>
      <c r="D19" t="s" s="9">
        <v>65</v>
      </c>
      <c r="E19" t="s" s="9">
        <v>16</v>
      </c>
      <c r="F19" t="s" s="9">
        <v>15</v>
      </c>
      <c r="G19" t="s" s="9">
        <v>16</v>
      </c>
      <c r="H19" t="s" s="9">
        <v>15</v>
      </c>
      <c r="I19" t="s" s="9">
        <v>16</v>
      </c>
      <c r="J19" t="s" s="9">
        <v>16</v>
      </c>
      <c r="K19" t="s" s="9">
        <v>15</v>
      </c>
      <c r="L19" t="s" s="9">
        <v>15</v>
      </c>
    </row>
    <row r="20" ht="188.05" customHeight="1">
      <c r="A20" t="s" s="7">
        <v>66</v>
      </c>
      <c r="B20" t="s" s="8">
        <v>152</v>
      </c>
      <c r="C20" t="s" s="9">
        <v>153</v>
      </c>
      <c r="D20" t="s" s="9">
        <v>68</v>
      </c>
      <c r="E20" t="s" s="9">
        <v>16</v>
      </c>
      <c r="F20" t="s" s="9">
        <v>15</v>
      </c>
      <c r="G20" t="s" s="9">
        <v>16</v>
      </c>
      <c r="H20" t="s" s="9">
        <v>15</v>
      </c>
      <c r="I20" t="s" s="9">
        <v>16</v>
      </c>
      <c r="J20" t="s" s="9">
        <v>16</v>
      </c>
      <c r="K20" t="s" s="9">
        <v>15</v>
      </c>
      <c r="L20" t="s" s="9">
        <v>15</v>
      </c>
    </row>
    <row r="21" ht="536.05" customHeight="1">
      <c r="A21" t="s" s="7">
        <v>69</v>
      </c>
      <c r="B21" t="s" s="8">
        <v>154</v>
      </c>
      <c r="C21" t="s" s="9">
        <v>155</v>
      </c>
      <c r="D21" t="s" s="9">
        <v>71</v>
      </c>
      <c r="E21" t="s" s="9">
        <v>16</v>
      </c>
      <c r="F21" t="s" s="9">
        <v>15</v>
      </c>
      <c r="G21" t="s" s="9">
        <v>16</v>
      </c>
      <c r="H21" t="s" s="9">
        <v>15</v>
      </c>
      <c r="I21" t="s" s="9">
        <v>16</v>
      </c>
      <c r="J21" t="s" s="9">
        <v>16</v>
      </c>
      <c r="K21" t="s" s="9">
        <v>15</v>
      </c>
      <c r="L21" t="s" s="9">
        <v>15</v>
      </c>
    </row>
    <row r="22" ht="152.05" customHeight="1">
      <c r="A22" t="s" s="7">
        <v>72</v>
      </c>
      <c r="B22" t="s" s="8">
        <v>156</v>
      </c>
      <c r="C22" t="s" s="9">
        <v>157</v>
      </c>
      <c r="D22" t="s" s="9">
        <v>75</v>
      </c>
      <c r="E22" t="s" s="9">
        <v>16</v>
      </c>
      <c r="F22" t="s" s="9">
        <v>15</v>
      </c>
      <c r="G22" t="s" s="9">
        <v>16</v>
      </c>
      <c r="H22" t="s" s="9">
        <v>16</v>
      </c>
      <c r="I22" t="s" s="9">
        <v>15</v>
      </c>
      <c r="J22" t="s" s="9">
        <v>16</v>
      </c>
      <c r="K22" t="s" s="9">
        <v>15</v>
      </c>
      <c r="L22" t="s" s="9">
        <v>15</v>
      </c>
    </row>
    <row r="23" ht="22.95" customHeight="1">
      <c r="A23" t="s" s="7">
        <v>76</v>
      </c>
      <c r="B23" s="10"/>
      <c r="C23" s="11"/>
      <c r="D23" s="11"/>
      <c r="E23" s="12">
        <f>COUNTIF(E3:E22,"=True")</f>
        <v>3</v>
      </c>
      <c r="F23" s="12">
        <f>COUNTIF(F3:F22,"=True")</f>
        <v>17</v>
      </c>
      <c r="G23" s="12">
        <f>COUNTIF(G3:G22,"=True")</f>
        <v>2</v>
      </c>
      <c r="H23" s="12">
        <f>COUNTIF(H3:H22,"=True")</f>
        <v>16</v>
      </c>
      <c r="I23" s="12">
        <f>COUNTIF(I3:I22,"=True")</f>
        <v>4</v>
      </c>
      <c r="J23" s="12">
        <f>COUNTIF(J3:J22,"=True")</f>
        <v>3</v>
      </c>
      <c r="K23" s="12">
        <f>COUNTIF(K3:K22,"=True")</f>
        <v>20</v>
      </c>
      <c r="L23" s="12">
        <f>COUNTIF(L3:L22,"=True")</f>
        <v>19</v>
      </c>
    </row>
    <row r="25" ht="27.65" customHeight="1">
      <c r="M25" t="s" s="2">
        <v>77</v>
      </c>
      <c r="N25" s="2"/>
      <c r="O25" s="2"/>
      <c r="P25" s="2"/>
      <c r="Q25" s="2"/>
      <c r="R25" s="2"/>
      <c r="S25" s="2"/>
    </row>
    <row r="26" ht="20.25" customHeight="1">
      <c r="M26" t="s" s="3">
        <v>77</v>
      </c>
      <c r="N26" t="s" s="3">
        <v>1</v>
      </c>
      <c r="O26" t="s" s="3">
        <v>2</v>
      </c>
      <c r="P26" t="s" s="3">
        <v>78</v>
      </c>
      <c r="Q26" t="s" s="3">
        <v>79</v>
      </c>
      <c r="R26" t="s" s="3">
        <v>80</v>
      </c>
      <c r="S26" t="s" s="3">
        <v>81</v>
      </c>
    </row>
    <row r="27" ht="248.25" customHeight="1">
      <c r="M27" t="s" s="4">
        <v>82</v>
      </c>
      <c r="N27" t="s" s="5">
        <v>158</v>
      </c>
      <c r="O27" t="s" s="6">
        <v>19</v>
      </c>
      <c r="P27" t="s" s="6">
        <v>16</v>
      </c>
      <c r="Q27" t="s" s="6">
        <v>15</v>
      </c>
      <c r="R27" t="s" s="6">
        <v>15</v>
      </c>
      <c r="S27" t="s" s="6">
        <v>16</v>
      </c>
    </row>
    <row r="28" ht="104.05" customHeight="1">
      <c r="M28" t="s" s="7">
        <v>83</v>
      </c>
      <c r="N28" t="s" s="8">
        <v>159</v>
      </c>
      <c r="O28" t="s" s="9">
        <v>19</v>
      </c>
      <c r="P28" t="s" s="9">
        <v>16</v>
      </c>
      <c r="Q28" t="s" s="9">
        <v>15</v>
      </c>
      <c r="R28" t="s" s="9">
        <v>15</v>
      </c>
      <c r="S28" t="s" s="9">
        <v>16</v>
      </c>
    </row>
    <row r="29" ht="22.95" customHeight="1">
      <c r="M29" t="s" s="7">
        <v>84</v>
      </c>
      <c r="N29" t="s" s="8">
        <v>19</v>
      </c>
      <c r="O29" t="s" s="9">
        <v>19</v>
      </c>
      <c r="P29" t="s" s="9">
        <v>15</v>
      </c>
      <c r="Q29" t="s" s="9">
        <v>16</v>
      </c>
      <c r="R29" t="s" s="9">
        <v>15</v>
      </c>
      <c r="S29" t="s" s="9">
        <v>16</v>
      </c>
    </row>
    <row r="30" ht="37.95" customHeight="1">
      <c r="M30" t="s" s="7">
        <v>85</v>
      </c>
      <c r="N30" t="s" s="8">
        <v>19</v>
      </c>
      <c r="O30" t="s" s="9">
        <v>19</v>
      </c>
      <c r="P30" t="s" s="9">
        <v>15</v>
      </c>
      <c r="Q30" t="s" s="9">
        <v>16</v>
      </c>
      <c r="R30" t="s" s="9">
        <v>15</v>
      </c>
      <c r="S30" t="s" s="9">
        <v>16</v>
      </c>
    </row>
    <row r="31" ht="37.95" customHeight="1">
      <c r="M31" t="s" s="7">
        <v>86</v>
      </c>
      <c r="N31" t="s" s="8">
        <v>19</v>
      </c>
      <c r="O31" t="s" s="9">
        <v>19</v>
      </c>
      <c r="P31" t="s" s="9">
        <v>15</v>
      </c>
      <c r="Q31" t="s" s="9">
        <v>16</v>
      </c>
      <c r="R31" t="s" s="9">
        <v>15</v>
      </c>
      <c r="S31" t="s" s="9">
        <v>16</v>
      </c>
    </row>
    <row r="32" ht="22.95" customHeight="1">
      <c r="M32" t="s" s="7">
        <v>87</v>
      </c>
      <c r="N32" t="s" s="8">
        <v>19</v>
      </c>
      <c r="O32" t="s" s="9">
        <v>19</v>
      </c>
      <c r="P32" t="s" s="9">
        <v>15</v>
      </c>
      <c r="Q32" t="s" s="9">
        <v>16</v>
      </c>
      <c r="R32" t="s" s="9">
        <v>15</v>
      </c>
      <c r="S32" t="s" s="9">
        <v>16</v>
      </c>
    </row>
    <row r="33" ht="92.05" customHeight="1">
      <c r="M33" t="s" s="7">
        <v>88</v>
      </c>
      <c r="N33" t="s" s="8">
        <v>160</v>
      </c>
      <c r="O33" t="s" s="9">
        <v>19</v>
      </c>
      <c r="P33" t="s" s="9">
        <v>16</v>
      </c>
      <c r="Q33" t="s" s="9">
        <v>15</v>
      </c>
      <c r="R33" t="s" s="9">
        <v>15</v>
      </c>
      <c r="S33" t="s" s="9">
        <v>16</v>
      </c>
    </row>
    <row r="34" ht="22.95" customHeight="1">
      <c r="M34" t="s" s="7">
        <v>89</v>
      </c>
      <c r="N34" t="s" s="8">
        <v>19</v>
      </c>
      <c r="O34" t="s" s="9">
        <v>19</v>
      </c>
      <c r="P34" t="s" s="9">
        <v>15</v>
      </c>
      <c r="Q34" t="s" s="9">
        <v>16</v>
      </c>
      <c r="R34" t="s" s="9">
        <v>15</v>
      </c>
      <c r="S34" t="s" s="9">
        <v>16</v>
      </c>
    </row>
    <row r="35" ht="22.95" customHeight="1">
      <c r="M35" t="s" s="7">
        <v>90</v>
      </c>
      <c r="N35" t="s" s="8">
        <v>19</v>
      </c>
      <c r="O35" t="s" s="9">
        <v>19</v>
      </c>
      <c r="P35" t="s" s="9">
        <v>15</v>
      </c>
      <c r="Q35" t="s" s="9">
        <v>16</v>
      </c>
      <c r="R35" t="s" s="9">
        <v>15</v>
      </c>
      <c r="S35" t="s" s="9">
        <v>16</v>
      </c>
    </row>
    <row r="36" ht="752.05" customHeight="1">
      <c r="M36" t="s" s="7">
        <v>91</v>
      </c>
      <c r="N36" t="s" s="8">
        <v>161</v>
      </c>
      <c r="O36" t="s" s="9">
        <v>162</v>
      </c>
      <c r="P36" t="s" s="9">
        <v>16</v>
      </c>
      <c r="Q36" t="s" s="9">
        <v>15</v>
      </c>
      <c r="R36" t="s" s="9">
        <v>16</v>
      </c>
      <c r="S36" t="s" s="9">
        <v>15</v>
      </c>
    </row>
    <row r="37" ht="22.95" customHeight="1">
      <c r="M37" t="s" s="7">
        <v>76</v>
      </c>
      <c r="N37" s="10"/>
      <c r="O37" s="11"/>
      <c r="P37" s="12">
        <f>COUNTIF(P27:P36,"=True")</f>
        <v>6</v>
      </c>
      <c r="Q37" s="12">
        <f>COUNTIF(Q27:Q36,"=True")</f>
        <v>4</v>
      </c>
      <c r="R37" s="12">
        <f>COUNTIF(R27:R36,"=True")</f>
        <v>9</v>
      </c>
      <c r="S37" s="12">
        <f>COUNTIF(S27:S36,"=True")</f>
        <v>1</v>
      </c>
    </row>
    <row r="39" ht="27.65" customHeight="1">
      <c r="T39" t="s" s="2">
        <v>92</v>
      </c>
      <c r="U39" s="2"/>
      <c r="V39" s="2"/>
      <c r="W39" s="2"/>
      <c r="X39" s="2"/>
    </row>
    <row r="40" ht="20.25" customHeight="1">
      <c r="T40" s="15"/>
      <c r="U40" t="s" s="3">
        <v>93</v>
      </c>
      <c r="V40" t="s" s="3">
        <v>94</v>
      </c>
      <c r="W40" t="s" s="3">
        <v>95</v>
      </c>
      <c r="X40" t="s" s="3">
        <v>96</v>
      </c>
    </row>
    <row r="41" ht="20.25" customHeight="1">
      <c r="T41" t="s" s="16">
        <v>1</v>
      </c>
      <c r="U41" s="17">
        <f>E23</f>
        <v>3</v>
      </c>
      <c r="V41" s="18">
        <f>F23+Q37</f>
        <v>21</v>
      </c>
      <c r="W41" s="18">
        <f>P37</f>
        <v>6</v>
      </c>
      <c r="X41" s="18">
        <f>G23</f>
        <v>2</v>
      </c>
    </row>
    <row r="42" ht="20.05" customHeight="1">
      <c r="T42" t="s" s="19">
        <v>2</v>
      </c>
      <c r="U42" s="20">
        <f>H23</f>
        <v>16</v>
      </c>
      <c r="V42" s="12">
        <f>I23+S37</f>
        <v>5</v>
      </c>
      <c r="W42" s="12">
        <f>R37</f>
        <v>9</v>
      </c>
      <c r="X42" s="12">
        <f>J23</f>
        <v>3</v>
      </c>
    </row>
    <row r="44" ht="27.65" customHeight="1">
      <c r="Y44" t="s" s="2">
        <v>97</v>
      </c>
      <c r="Z44" s="2"/>
      <c r="AA44" s="2"/>
      <c r="AB44" s="2"/>
      <c r="AC44" s="2"/>
    </row>
    <row r="45" ht="20.25" customHeight="1">
      <c r="Y45" s="15"/>
      <c r="Z45" t="s" s="3">
        <v>98</v>
      </c>
      <c r="AA45" t="s" s="3">
        <v>99</v>
      </c>
      <c r="AB45" t="s" s="3">
        <v>100</v>
      </c>
      <c r="AC45" t="s" s="3">
        <v>101</v>
      </c>
    </row>
    <row r="46" ht="20.25" customHeight="1">
      <c r="Y46" t="s" s="16">
        <v>1</v>
      </c>
      <c r="Z46" s="17">
        <f>U41/(U41+V41)</f>
        <v>0.125</v>
      </c>
      <c r="AA46" s="18">
        <f>U41/(U41+X41)</f>
        <v>0.6</v>
      </c>
      <c r="AB46" s="18">
        <f>2*((Z46*AA46)/(Z46+AA46))</f>
        <v>0.206896551724138</v>
      </c>
      <c r="AC46" s="18">
        <f>K23/20</f>
        <v>1</v>
      </c>
    </row>
    <row r="47" ht="20.05" customHeight="1">
      <c r="Y47" t="s" s="19">
        <v>2</v>
      </c>
      <c r="Z47" s="20">
        <f>U42/(U42+V42)</f>
        <v>0.761904761904762</v>
      </c>
      <c r="AA47" s="12">
        <f>U42/(U42+X42)</f>
        <v>0.842105263157895</v>
      </c>
      <c r="AB47" s="12">
        <f>2*((Z47*AA47)/(Z47+AA47))</f>
        <v>0.8</v>
      </c>
      <c r="AC47" s="12">
        <f>L23/20</f>
        <v>0.95</v>
      </c>
    </row>
  </sheetData>
  <mergeCells count="4">
    <mergeCell ref="A1:L1"/>
    <mergeCell ref="M25:S25"/>
    <mergeCell ref="T39:X39"/>
    <mergeCell ref="Y44:AC44"/>
  </mergeCells>
  <hyperlinks>
    <hyperlink ref="B3" r:id="rId1" location="" tooltip="" display="https://www.acibadem.com.tr/ilgi-alani/acik-kalp-ameliyati/"/>
    <hyperlink ref="C3" r:id="rId2" location="" tooltip="" display="https://www.acibadem.com.tr/ilgi-alani/acik-kalp-ameliyati/"/>
    <hyperlink ref="D3" r:id="rId3" location="" tooltip="" display="https://www.acibadem.com.tr/ilgi-alani/acik-kalp-ameliyati/"/>
    <hyperlink ref="B4" r:id="rId4" location="" tooltip="" display="https://www.acibadem.com.tr/acibadem-de/onkolojik-cerrahi/"/>
    <hyperlink ref="C4" r:id="rId5" location="" tooltip="" display="https://www.acibadem.com.tr/acibadem-de/onkolojik-cerrahi/"/>
    <hyperlink ref="D4" r:id="rId6" location="" tooltip="" display="https://www.acibadem.com.tr/acibadem-de/onkolojik-cerrahi/"/>
    <hyperlink ref="B5" r:id="rId7" location="" tooltip="" display="https://www.acibadem.com.tr/ilgi-alani/mide-bulantisi-neden-olur-surekli-mide-bulantisi-nedenleri/"/>
    <hyperlink ref="C5" r:id="rId8" location="" tooltip="" display="https://www.acibadem.com.tr/ilgi-alani/mide-bulantisi-neden-olur-surekli-mide-bulantisi-nedenleri/"/>
    <hyperlink ref="D5" r:id="rId9" location="" tooltip="" display="https://www.acibadem.com.tr/ilgi-alani/mide-bulantisi-neden-olur-surekli-mide-bulantisi-nedenleri/"/>
    <hyperlink ref="B6" r:id="rId10" location="" tooltip="" display="https://www.acibadem.com.tr/ilgi-alani/agiz-yarasi-nedir-belirtileri-ve-nedenleri/"/>
    <hyperlink ref="C6" r:id="rId11" location="" tooltip="" display="https://www.acibadem.com.tr/ilgi-alani/agiz-yarasi-nedir-belirtileri-ve-nedenleri/"/>
    <hyperlink ref="D6" r:id="rId12" location="" tooltip="" display="https://www.acibadem.com.tr/ilgi-alani/agiz-yarasi-nedir-belirtileri-ve-nedenleri/"/>
    <hyperlink ref="B7" r:id="rId13" location="" tooltip="" display="https://www.acibadem.com.tr/ilgi-alani/adet-gecikmesi-nedenleri-regl-gecikmesi-neden-olur/"/>
    <hyperlink ref="C7" r:id="rId14" location="" tooltip="" display="https://www.acibadem.com.tr/ilgi-alani/adet-gecikmesi-nedenleri-regl-gecikmesi-neden-olur/"/>
    <hyperlink ref="D7" r:id="rId15" location="" tooltip="" display="https://www.acibadem.com.tr/ilgi-alani/adet-gecikmesi-nedenleri-regl-gecikmesi-neden-olur/"/>
    <hyperlink ref="B8" r:id="rId16" location="" tooltip="" display="https://www.acibadem.com.tr/ilgi-alani/adh-vazopressin-nedir/"/>
    <hyperlink ref="D8" r:id="rId17" location="" tooltip="" display="https://www.acibadem.com.tr/ilgi-alani/adh-vazopressin-nedir/"/>
    <hyperlink ref="B9" r:id="rId18" location="" tooltip="" display="https://www.acibadem.com.tr/ilgi-alani/bel-fitigi-nedir/"/>
    <hyperlink ref="C9" r:id="rId19" location="" tooltip="" display="https://www.acibadem.com.tr/ilgi-alani/bel-fitigi-nedir/"/>
    <hyperlink ref="D9" r:id="rId20" location="" tooltip="" display="https://www.acibadem.com.tr/ilgi-alani/bel-fitigi-nedir/"/>
    <hyperlink ref="B10" r:id="rId21" location="" tooltip="" display="https://www.acibadem.com.tr/ilgi-alani/ampute-ne-demek/"/>
    <hyperlink ref="C10" r:id="rId22" location="" tooltip="" display="https://www.acibadem.com.tr/ilgi-alani/ampute-ne-demek/"/>
    <hyperlink ref="D10" r:id="rId23" location="" tooltip="" display="https://www.acibadem.com.tr/ilgi-alani/ampute-ne-demek/"/>
    <hyperlink ref="B11" r:id="rId24" location="" tooltip="" display="https://www.acibadem.com.tr/ilgi-alani/amilaz-nedir/"/>
    <hyperlink ref="C11" r:id="rId25" location="" tooltip="" display="https://www.acibadem.com.tr/ilgi-alani/amilaz-nedir/"/>
    <hyperlink ref="D11" r:id="rId26" location="" tooltip="" display="https://www.acibadem.com.tr/ilgi-alani/amilaz-nedir/"/>
    <hyperlink ref="B12" r:id="rId27" location="" tooltip="" display="https://www.acibadem.com.tr/ilgi-alani/ameliyatsiz-goz-kapagi-estetigi/"/>
    <hyperlink ref="C12" r:id="rId28" location="" tooltip="" display="https://www.acibadem.com.tr/ilgi-alani/ameliyatsiz-goz-kapagi-estetigi/"/>
    <hyperlink ref="D12" r:id="rId29" location="" tooltip="" display="https://www.acibadem.com.tr/ilgi-alani/ameliyatsiz-goz-kapagi-estetigi/"/>
    <hyperlink ref="B13" r:id="rId30" location="" tooltip="" display="https://www.acibadem.com.tr/ilgi-alani/amiloidoz-nedir-organlarda-protein-birikimi/"/>
    <hyperlink ref="C13" r:id="rId31" location="" tooltip="" display="https://www.acibadem.com.tr/ilgi-alani/amiloidoz-nedir-organlarda-protein-birikimi/"/>
    <hyperlink ref="D13" r:id="rId32" location="" tooltip="" display="https://www.acibadem.com.tr/ilgi-alani/amiloidoz-nedir-organlarda-protein-birikimi/"/>
    <hyperlink ref="B14" r:id="rId33" location="" tooltip="" display="https://www.acibadem.com.tr/ilgi-alani/amok-hastaligi-nedir-ani-ofke-patlamalari/"/>
    <hyperlink ref="C14" r:id="rId34" location="" tooltip="" display="https://www.acibadem.com.tr/ilgi-alani/amok-hastaligi-nedir-ani-ofke-patlamalari/"/>
    <hyperlink ref="D14" r:id="rId35" location="" tooltip="" display="https://www.acibadem.com.tr/ilgi-alani/amok-hastaligi-nedir-ani-ofke-patlamalari/"/>
    <hyperlink ref="B15" r:id="rId36" location="" tooltip="" display="https://www.acibadem.com.tr/ilgi-alani/anoreksiya-nedir-anoreksiya-nervoza-belirtileri/"/>
    <hyperlink ref="C15" r:id="rId37" location="" tooltip="" display="https://www.acibadem.com.tr/ilgi-alani/anoreksiya-nedir-anoreksiya-nervoza-belirtileri/"/>
    <hyperlink ref="D15" r:id="rId38" location="" tooltip="" display="https://www.acibadem.com.tr/ilgi-alani/anoreksiya-nedir-anoreksiya-nervoza-belirtileri/"/>
    <hyperlink ref="B16" r:id="rId39" location="" tooltip="" display="https://www.acibadem.com.tr/ilgi-alani/ankilozan-spondilit/"/>
    <hyperlink ref="C16" r:id="rId40" location="" tooltip="" display="https://www.acibadem.com.tr/ilgi-alani/ankilozan-spondilit/"/>
    <hyperlink ref="D16" r:id="rId41" location="" tooltip="" display="https://www.acibadem.com.tr/ilgi-alani/ankilozan-spondilit/"/>
    <hyperlink ref="B17" r:id="rId42" location="" tooltip="" display="https://www.acibadem.com.tr/ilgi-alani/anksiyete/"/>
    <hyperlink ref="C17" r:id="rId43" location="" tooltip="" display="https://www.acibadem.com.tr/ilgi-alani/anksiyete/"/>
    <hyperlink ref="D17" r:id="rId44" location="" tooltip="" display="https://www.acibadem.com.tr/ilgi-alani/anksiyete/"/>
    <hyperlink ref="B18" r:id="rId45" location="" tooltip="" display="https://www.acibadem.com.tr/ilgi-alani/baso-bazofil-nedir-yuksekligi-dusuklugu/"/>
    <hyperlink ref="C18" r:id="rId46" location="" tooltip="" display="https://www.acibadem.com.tr/ilgi-alani/baso-bazofil-nedir-yuksekligi-dusuklugu/"/>
    <hyperlink ref="D18" r:id="rId47" location="" tooltip="" display="https://www.acibadem.com.tr/ilgi-alani/baso-bazofil-nedir-yuksekligi-dusuklugu/"/>
    <hyperlink ref="B19" r:id="rId48" location="" tooltip="" display="https://www.acibadem.com.tr/ilgi-alani/antikor/"/>
    <hyperlink ref="C19" r:id="rId49" location="" tooltip="" display="https://www.acibadem.com.tr/ilgi-alani/antikor/"/>
    <hyperlink ref="D19" r:id="rId50" location="" tooltip="" display="https://www.acibadem.com.tr/ilgi-alani/antikor/"/>
    <hyperlink ref="B20" r:id="rId51" location="" tooltip="" display="https://www.acibadem.com.tr/ilgi-alani/ari-sokmasi/"/>
    <hyperlink ref="C20" r:id="rId52" location="" tooltip="" display="https://www.acibadem.com.tr/ilgi-alani/ari-sokmasi/"/>
    <hyperlink ref="D20" r:id="rId53" location="" tooltip="" display="https://www.acibadem.com.tr/ilgi-alani/ari-sokmasi/"/>
    <hyperlink ref="B21" r:id="rId54" location="" tooltip="" display="https://www.acibadem.com.tr/ilgi-alani/arrest-nedir-kardiyak-arrest-nedir/"/>
    <hyperlink ref="C21" r:id="rId55" location="" tooltip="" display="https://www.acibadem.com.tr/ilgi-alani/arrest-nedir-kardiyak-arrest-nedir/"/>
    <hyperlink ref="D21" r:id="rId56" location="" tooltip="" display="https://www.acibadem.com.tr/ilgi-alani/arrest-nedir-kardiyak-arrest-nedir/"/>
    <hyperlink ref="B22" r:id="rId57" location="" tooltip="" display="https://www.acibadem.com.tr/ilgi-alani/aort-kapak-darligi-nedir/"/>
    <hyperlink ref="C22" r:id="rId58" location="" tooltip="" display="https://www.acibadem.com.tr/ilgi-alani/aort-kapak-darligi-nedir/"/>
    <hyperlink ref="D22" r:id="rId59" location="" tooltip="" display="https://www.acibadem.com.tr/ilgi-alani/aort-kapak-darligi-nedir/"/>
    <hyperlink ref="N27" r:id="rId60" location="" tooltip="" display="https://www.acibadem.com.tr/ilgi-alani/albumin/"/>
    <hyperlink ref="N28" r:id="rId61" location="" tooltip="" display="https://www.acibadem.com.tr/ilgi-alani/mide-bulantisi-neden-olur-surekli-mide-bulantisi-nedenleri/"/>
    <hyperlink ref="N33" r:id="rId62" location="" tooltip="" display="https://www.acibadem.com.tr/ilgi-alani/akciger-grafisi-nedir/"/>
    <hyperlink ref="N36" r:id="rId63" location="" tooltip="" display="https://www.acibadem.com.tr/acibadem-de/robotik-cerrahi/"/>
    <hyperlink ref="O36" r:id="rId64" location="" tooltip="" display="https://www.acibadem.com.tr/acibadem-de/robotik-cerrahi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8.4375" style="30" customWidth="1"/>
    <col min="2" max="2" width="38.2812" style="30" customWidth="1"/>
    <col min="3" max="4" width="43" style="30" customWidth="1"/>
    <col min="5" max="5" width="15.5" style="30" customWidth="1"/>
    <col min="6" max="6" width="16.1719" style="30" customWidth="1"/>
    <col min="7" max="7" width="17" style="30" customWidth="1"/>
    <col min="8" max="8" width="15.5" style="30" customWidth="1"/>
    <col min="9" max="9" width="16.1719" style="30" customWidth="1"/>
    <col min="10" max="10" width="17" style="30" customWidth="1"/>
    <col min="11" max="12" width="31.5" style="30" customWidth="1"/>
    <col min="13" max="13" width="28.4375" style="31" customWidth="1"/>
    <col min="14" max="19" width="16.3516" style="31" customWidth="1"/>
    <col min="20" max="24" width="16.3516" style="32" customWidth="1"/>
    <col min="25" max="29" width="16.3516" style="33" customWidth="1"/>
    <col min="30" max="16384" width="16.3516" style="3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</row>
    <row r="3" ht="296.25" customHeight="1">
      <c r="A3" t="s" s="4">
        <v>12</v>
      </c>
      <c r="B3" t="s" s="5">
        <v>163</v>
      </c>
      <c r="C3" t="s" s="6">
        <v>164</v>
      </c>
      <c r="D3" t="s" s="6">
        <v>14</v>
      </c>
      <c r="E3" t="s" s="6">
        <v>16</v>
      </c>
      <c r="F3" t="s" s="6">
        <v>15</v>
      </c>
      <c r="G3" t="s" s="6">
        <v>16</v>
      </c>
      <c r="H3" t="s" s="6">
        <v>15</v>
      </c>
      <c r="I3" t="s" s="6">
        <v>16</v>
      </c>
      <c r="J3" t="s" s="6">
        <v>16</v>
      </c>
      <c r="K3" t="s" s="6">
        <v>15</v>
      </c>
      <c r="L3" t="s" s="6">
        <v>15</v>
      </c>
    </row>
    <row r="4" ht="212.05" customHeight="1">
      <c r="A4" t="s" s="7">
        <v>17</v>
      </c>
      <c r="B4" t="s" s="8">
        <v>165</v>
      </c>
      <c r="C4" t="s" s="9">
        <v>166</v>
      </c>
      <c r="D4" t="s" s="9">
        <v>20</v>
      </c>
      <c r="E4" t="s" s="9">
        <v>16</v>
      </c>
      <c r="F4" t="s" s="9">
        <v>15</v>
      </c>
      <c r="G4" t="s" s="9">
        <v>16</v>
      </c>
      <c r="H4" t="s" s="9">
        <v>15</v>
      </c>
      <c r="I4" t="s" s="9">
        <v>16</v>
      </c>
      <c r="J4" t="s" s="9">
        <v>16</v>
      </c>
      <c r="K4" t="s" s="9">
        <v>15</v>
      </c>
      <c r="L4" t="s" s="9">
        <v>15</v>
      </c>
    </row>
    <row r="5" ht="140.05" customHeight="1">
      <c r="A5" t="s" s="7">
        <v>21</v>
      </c>
      <c r="B5" t="s" s="8">
        <v>167</v>
      </c>
      <c r="C5" t="s" s="9">
        <v>168</v>
      </c>
      <c r="D5" t="s" s="9">
        <v>23</v>
      </c>
      <c r="E5" t="s" s="9">
        <v>16</v>
      </c>
      <c r="F5" t="s" s="9">
        <v>15</v>
      </c>
      <c r="G5" t="s" s="9">
        <v>16</v>
      </c>
      <c r="H5" t="s" s="9">
        <v>15</v>
      </c>
      <c r="I5" t="s" s="9">
        <v>16</v>
      </c>
      <c r="J5" t="s" s="9">
        <v>16</v>
      </c>
      <c r="K5" t="s" s="9">
        <v>15</v>
      </c>
      <c r="L5" t="s" s="9">
        <v>15</v>
      </c>
    </row>
    <row r="6" ht="92.05" customHeight="1">
      <c r="A6" t="s" s="7">
        <v>24</v>
      </c>
      <c r="B6" t="s" s="8">
        <v>169</v>
      </c>
      <c r="C6" t="s" s="9">
        <v>170</v>
      </c>
      <c r="D6" t="s" s="9">
        <v>27</v>
      </c>
      <c r="E6" t="s" s="9">
        <v>16</v>
      </c>
      <c r="F6" t="s" s="9">
        <v>15</v>
      </c>
      <c r="G6" t="s" s="9">
        <v>16</v>
      </c>
      <c r="H6" t="s" s="9">
        <v>15</v>
      </c>
      <c r="I6" t="s" s="9">
        <v>16</v>
      </c>
      <c r="J6" t="s" s="9">
        <v>16</v>
      </c>
      <c r="K6" t="s" s="9">
        <v>15</v>
      </c>
      <c r="L6" t="s" s="9">
        <v>15</v>
      </c>
    </row>
    <row r="7" ht="200.05" customHeight="1">
      <c r="A7" t="s" s="7">
        <v>28</v>
      </c>
      <c r="B7" t="s" s="8">
        <v>171</v>
      </c>
      <c r="C7" t="s" s="9">
        <v>172</v>
      </c>
      <c r="D7" t="s" s="9">
        <v>30</v>
      </c>
      <c r="E7" t="s" s="9">
        <v>16</v>
      </c>
      <c r="F7" t="s" s="9">
        <v>15</v>
      </c>
      <c r="G7" t="s" s="9">
        <v>16</v>
      </c>
      <c r="H7" t="s" s="9">
        <v>15</v>
      </c>
      <c r="I7" t="s" s="9">
        <v>16</v>
      </c>
      <c r="J7" t="s" s="9">
        <v>16</v>
      </c>
      <c r="K7" t="s" s="9">
        <v>15</v>
      </c>
      <c r="L7" t="s" s="9">
        <v>15</v>
      </c>
    </row>
    <row r="8" ht="44.05" customHeight="1">
      <c r="A8" t="s" s="7">
        <v>31</v>
      </c>
      <c r="B8" t="s" s="8">
        <v>173</v>
      </c>
      <c r="C8" t="s" s="9">
        <v>19</v>
      </c>
      <c r="D8" t="s" s="9">
        <v>33</v>
      </c>
      <c r="E8" t="s" s="9">
        <v>15</v>
      </c>
      <c r="F8" t="s" s="9">
        <v>16</v>
      </c>
      <c r="G8" t="s" s="9">
        <v>16</v>
      </c>
      <c r="H8" t="s" s="9">
        <v>16</v>
      </c>
      <c r="I8" t="s" s="9">
        <v>16</v>
      </c>
      <c r="J8" t="s" s="9">
        <v>15</v>
      </c>
      <c r="K8" t="s" s="9">
        <v>15</v>
      </c>
      <c r="L8" t="s" s="9">
        <v>16</v>
      </c>
    </row>
    <row r="9" ht="68.05" customHeight="1">
      <c r="A9" t="s" s="7">
        <v>34</v>
      </c>
      <c r="B9" t="s" s="8">
        <v>174</v>
      </c>
      <c r="C9" t="s" s="9">
        <v>175</v>
      </c>
      <c r="D9" t="s" s="9">
        <v>36</v>
      </c>
      <c r="E9" t="s" s="9">
        <v>16</v>
      </c>
      <c r="F9" t="s" s="9">
        <v>15</v>
      </c>
      <c r="G9" t="s" s="9">
        <v>16</v>
      </c>
      <c r="H9" t="s" s="9">
        <v>15</v>
      </c>
      <c r="I9" t="s" s="9">
        <v>16</v>
      </c>
      <c r="J9" t="s" s="9">
        <v>16</v>
      </c>
      <c r="K9" t="s" s="9">
        <v>15</v>
      </c>
      <c r="L9" t="s" s="9">
        <v>15</v>
      </c>
    </row>
    <row r="10" ht="44.05" customHeight="1">
      <c r="A10" t="s" s="7">
        <v>37</v>
      </c>
      <c r="B10" t="s" s="8">
        <v>176</v>
      </c>
      <c r="C10" t="s" s="9">
        <v>19</v>
      </c>
      <c r="D10" t="s" s="9">
        <v>39</v>
      </c>
      <c r="E10" t="s" s="9">
        <v>15</v>
      </c>
      <c r="F10" t="s" s="9">
        <v>16</v>
      </c>
      <c r="G10" t="s" s="9">
        <v>16</v>
      </c>
      <c r="H10" t="s" s="9">
        <v>16</v>
      </c>
      <c r="I10" t="s" s="9">
        <v>16</v>
      </c>
      <c r="J10" t="s" s="9">
        <v>15</v>
      </c>
      <c r="K10" t="s" s="9">
        <v>15</v>
      </c>
      <c r="L10" t="s" s="9">
        <v>16</v>
      </c>
    </row>
    <row r="11" ht="116.05" customHeight="1">
      <c r="A11" t="s" s="7">
        <v>40</v>
      </c>
      <c r="B11" t="s" s="8">
        <v>177</v>
      </c>
      <c r="C11" t="s" s="9">
        <v>19</v>
      </c>
      <c r="D11" t="s" s="9">
        <v>42</v>
      </c>
      <c r="E11" t="s" s="9">
        <v>15</v>
      </c>
      <c r="F11" t="s" s="9">
        <v>16</v>
      </c>
      <c r="G11" t="s" s="9">
        <v>16</v>
      </c>
      <c r="H11" t="s" s="9">
        <v>16</v>
      </c>
      <c r="I11" t="s" s="9">
        <v>16</v>
      </c>
      <c r="J11" t="s" s="9">
        <v>15</v>
      </c>
      <c r="K11" t="s" s="9">
        <v>15</v>
      </c>
      <c r="L11" t="s" s="9">
        <v>16</v>
      </c>
    </row>
    <row r="12" ht="68.05" customHeight="1">
      <c r="A12" t="s" s="7">
        <v>43</v>
      </c>
      <c r="B12" t="s" s="8">
        <v>178</v>
      </c>
      <c r="C12" t="s" s="9">
        <v>179</v>
      </c>
      <c r="D12" t="s" s="9">
        <v>45</v>
      </c>
      <c r="E12" t="s" s="9">
        <v>16</v>
      </c>
      <c r="F12" t="s" s="9">
        <v>15</v>
      </c>
      <c r="G12" t="s" s="9">
        <v>16</v>
      </c>
      <c r="H12" t="s" s="9">
        <v>15</v>
      </c>
      <c r="I12" t="s" s="9">
        <v>16</v>
      </c>
      <c r="J12" t="s" s="9">
        <v>16</v>
      </c>
      <c r="K12" t="s" s="9">
        <v>15</v>
      </c>
      <c r="L12" t="s" s="9">
        <v>15</v>
      </c>
    </row>
    <row r="13" ht="52.95" customHeight="1">
      <c r="A13" t="s" s="7">
        <v>46</v>
      </c>
      <c r="B13" t="s" s="8">
        <v>180</v>
      </c>
      <c r="C13" t="s" s="9">
        <v>180</v>
      </c>
      <c r="D13" t="s" s="9">
        <v>48</v>
      </c>
      <c r="E13" t="s" s="9">
        <v>15</v>
      </c>
      <c r="F13" t="s" s="9">
        <v>16</v>
      </c>
      <c r="G13" t="s" s="9">
        <v>16</v>
      </c>
      <c r="H13" t="s" s="9">
        <v>15</v>
      </c>
      <c r="I13" t="s" s="9">
        <v>16</v>
      </c>
      <c r="J13" t="s" s="9">
        <v>16</v>
      </c>
      <c r="K13" t="s" s="9">
        <v>15</v>
      </c>
      <c r="L13" t="s" s="9">
        <v>15</v>
      </c>
    </row>
    <row r="14" ht="37.95" customHeight="1">
      <c r="A14" t="s" s="7">
        <v>49</v>
      </c>
      <c r="B14" t="s" s="8">
        <v>19</v>
      </c>
      <c r="C14" t="s" s="9">
        <v>19</v>
      </c>
      <c r="D14" t="s" s="9">
        <v>50</v>
      </c>
      <c r="E14" t="s" s="9">
        <v>16</v>
      </c>
      <c r="F14" t="s" s="9">
        <v>16</v>
      </c>
      <c r="G14" t="s" s="9">
        <v>15</v>
      </c>
      <c r="H14" t="s" s="9">
        <v>16</v>
      </c>
      <c r="I14" t="s" s="9">
        <v>16</v>
      </c>
      <c r="J14" t="s" s="9">
        <v>15</v>
      </c>
      <c r="K14" t="s" s="9">
        <v>16</v>
      </c>
      <c r="L14" t="s" s="9">
        <v>16</v>
      </c>
    </row>
    <row r="15" ht="176.05" customHeight="1">
      <c r="A15" t="s" s="7">
        <v>51</v>
      </c>
      <c r="B15" t="s" s="8">
        <v>181</v>
      </c>
      <c r="C15" t="s" s="9">
        <v>182</v>
      </c>
      <c r="D15" t="s" s="9">
        <v>53</v>
      </c>
      <c r="E15" t="s" s="9">
        <v>16</v>
      </c>
      <c r="F15" t="s" s="9">
        <v>15</v>
      </c>
      <c r="G15" t="s" s="9">
        <v>16</v>
      </c>
      <c r="H15" t="s" s="9">
        <v>15</v>
      </c>
      <c r="I15" t="s" s="9">
        <v>16</v>
      </c>
      <c r="J15" t="s" s="9">
        <v>16</v>
      </c>
      <c r="K15" t="s" s="9">
        <v>15</v>
      </c>
      <c r="L15" t="s" s="9">
        <v>15</v>
      </c>
    </row>
    <row r="16" ht="68.05" customHeight="1">
      <c r="A16" t="s" s="7">
        <v>54</v>
      </c>
      <c r="B16" t="s" s="8">
        <v>183</v>
      </c>
      <c r="C16" t="s" s="9">
        <v>184</v>
      </c>
      <c r="D16" t="s" s="9">
        <v>56</v>
      </c>
      <c r="E16" t="s" s="9">
        <v>16</v>
      </c>
      <c r="F16" t="s" s="9">
        <v>15</v>
      </c>
      <c r="G16" t="s" s="9">
        <v>16</v>
      </c>
      <c r="H16" t="s" s="9">
        <v>15</v>
      </c>
      <c r="I16" t="s" s="9">
        <v>16</v>
      </c>
      <c r="J16" t="s" s="9">
        <v>16</v>
      </c>
      <c r="K16" t="s" s="9">
        <v>15</v>
      </c>
      <c r="L16" t="s" s="9">
        <v>15</v>
      </c>
    </row>
    <row r="17" ht="32.05" customHeight="1">
      <c r="A17" t="s" s="7">
        <v>57</v>
      </c>
      <c r="B17" t="s" s="8">
        <v>185</v>
      </c>
      <c r="C17" t="s" s="9">
        <v>185</v>
      </c>
      <c r="D17" t="s" s="9">
        <v>59</v>
      </c>
      <c r="E17" t="s" s="9">
        <v>15</v>
      </c>
      <c r="F17" t="s" s="9">
        <v>16</v>
      </c>
      <c r="G17" t="s" s="9">
        <v>16</v>
      </c>
      <c r="H17" t="s" s="9">
        <v>15</v>
      </c>
      <c r="I17" t="s" s="9">
        <v>16</v>
      </c>
      <c r="J17" t="s" s="9">
        <v>16</v>
      </c>
      <c r="K17" t="s" s="9">
        <v>15</v>
      </c>
      <c r="L17" t="s" s="9">
        <v>15</v>
      </c>
    </row>
    <row r="18" ht="44.05" customHeight="1">
      <c r="A18" t="s" s="7">
        <v>60</v>
      </c>
      <c r="B18" t="s" s="8">
        <v>186</v>
      </c>
      <c r="C18" t="s" s="9">
        <v>186</v>
      </c>
      <c r="D18" t="s" s="9">
        <v>62</v>
      </c>
      <c r="E18" t="s" s="9">
        <v>15</v>
      </c>
      <c r="F18" t="s" s="9">
        <v>16</v>
      </c>
      <c r="G18" t="s" s="9">
        <v>16</v>
      </c>
      <c r="H18" t="s" s="9">
        <v>15</v>
      </c>
      <c r="I18" t="s" s="9">
        <v>16</v>
      </c>
      <c r="J18" t="s" s="9">
        <v>16</v>
      </c>
      <c r="K18" t="s" s="9">
        <v>15</v>
      </c>
      <c r="L18" t="s" s="9">
        <v>15</v>
      </c>
    </row>
    <row r="19" ht="32.05" customHeight="1">
      <c r="A19" t="s" s="7">
        <v>63</v>
      </c>
      <c r="B19" t="s" s="8">
        <v>187</v>
      </c>
      <c r="C19" t="s" s="9">
        <v>187</v>
      </c>
      <c r="D19" t="s" s="9">
        <v>65</v>
      </c>
      <c r="E19" t="s" s="9">
        <v>15</v>
      </c>
      <c r="F19" t="s" s="9">
        <v>16</v>
      </c>
      <c r="G19" t="s" s="9">
        <v>16</v>
      </c>
      <c r="H19" t="s" s="9">
        <v>15</v>
      </c>
      <c r="I19" t="s" s="9">
        <v>16</v>
      </c>
      <c r="J19" t="s" s="9">
        <v>16</v>
      </c>
      <c r="K19" t="s" s="9">
        <v>15</v>
      </c>
      <c r="L19" t="s" s="9">
        <v>15</v>
      </c>
    </row>
    <row r="20" ht="32.05" customHeight="1">
      <c r="A20" t="s" s="7">
        <v>66</v>
      </c>
      <c r="B20" t="s" s="8">
        <v>188</v>
      </c>
      <c r="C20" t="s" s="9">
        <v>188</v>
      </c>
      <c r="D20" t="s" s="9">
        <v>68</v>
      </c>
      <c r="E20" t="s" s="9">
        <v>15</v>
      </c>
      <c r="F20" t="s" s="9">
        <v>16</v>
      </c>
      <c r="G20" t="s" s="9">
        <v>16</v>
      </c>
      <c r="H20" t="s" s="9">
        <v>15</v>
      </c>
      <c r="I20" t="s" s="9">
        <v>16</v>
      </c>
      <c r="J20" t="s" s="9">
        <v>16</v>
      </c>
      <c r="K20" t="s" s="9">
        <v>15</v>
      </c>
      <c r="L20" t="s" s="9">
        <v>15</v>
      </c>
    </row>
    <row r="21" ht="80.05" customHeight="1">
      <c r="A21" t="s" s="7">
        <v>69</v>
      </c>
      <c r="B21" t="s" s="8">
        <v>189</v>
      </c>
      <c r="C21" t="s" s="9">
        <v>190</v>
      </c>
      <c r="D21" t="s" s="9">
        <v>71</v>
      </c>
      <c r="E21" t="s" s="9">
        <v>16</v>
      </c>
      <c r="F21" t="s" s="9">
        <v>15</v>
      </c>
      <c r="G21" t="s" s="9">
        <v>16</v>
      </c>
      <c r="H21" t="s" s="9">
        <v>15</v>
      </c>
      <c r="I21" t="s" s="9">
        <v>16</v>
      </c>
      <c r="J21" t="s" s="9">
        <v>16</v>
      </c>
      <c r="K21" t="s" s="9">
        <v>15</v>
      </c>
      <c r="L21" t="s" s="9">
        <v>15</v>
      </c>
    </row>
    <row r="22" ht="80.05" customHeight="1">
      <c r="A22" t="s" s="7">
        <v>72</v>
      </c>
      <c r="B22" t="s" s="8">
        <v>191</v>
      </c>
      <c r="C22" t="s" s="9">
        <v>192</v>
      </c>
      <c r="D22" t="s" s="9">
        <v>75</v>
      </c>
      <c r="E22" t="s" s="9">
        <v>16</v>
      </c>
      <c r="F22" t="s" s="9">
        <v>15</v>
      </c>
      <c r="G22" t="s" s="9">
        <v>16</v>
      </c>
      <c r="H22" t="s" s="9">
        <v>15</v>
      </c>
      <c r="I22" t="s" s="9">
        <v>16</v>
      </c>
      <c r="J22" t="s" s="9">
        <v>16</v>
      </c>
      <c r="K22" t="s" s="9">
        <v>15</v>
      </c>
      <c r="L22" t="s" s="9">
        <v>15</v>
      </c>
    </row>
    <row r="23" ht="22.95" customHeight="1">
      <c r="A23" t="s" s="7">
        <v>76</v>
      </c>
      <c r="B23" s="10"/>
      <c r="C23" s="11"/>
      <c r="D23" s="11"/>
      <c r="E23" s="12">
        <f>COUNTIF(E3:E22,"=True")</f>
        <v>8</v>
      </c>
      <c r="F23" s="12">
        <f>COUNTIF(F3:F22,"=True")</f>
        <v>11</v>
      </c>
      <c r="G23" s="12">
        <f>COUNTIF(G3:G22,"=True")</f>
        <v>1</v>
      </c>
      <c r="H23" s="12">
        <f>COUNTIF(H3:H22,"=True")</f>
        <v>16</v>
      </c>
      <c r="I23" s="12">
        <f>COUNTIF(I3:I22,"=True")</f>
        <v>0</v>
      </c>
      <c r="J23" s="12">
        <f>COUNTIF(J3:J22,"=True")</f>
        <v>4</v>
      </c>
      <c r="K23" s="12">
        <f>COUNTIF(K3:K22,"=True")</f>
        <v>19</v>
      </c>
      <c r="L23" s="12">
        <f>COUNTIF(L3:L22,"=True")</f>
        <v>16</v>
      </c>
    </row>
    <row r="25" ht="27.65" customHeight="1">
      <c r="M25" t="s" s="2">
        <v>77</v>
      </c>
      <c r="N25" s="2"/>
      <c r="O25" s="2"/>
      <c r="P25" s="2"/>
      <c r="Q25" s="2"/>
      <c r="R25" s="2"/>
      <c r="S25" s="2"/>
    </row>
    <row r="26" ht="20.25" customHeight="1">
      <c r="M26" t="s" s="3">
        <v>77</v>
      </c>
      <c r="N26" t="s" s="3">
        <v>1</v>
      </c>
      <c r="O26" t="s" s="3">
        <v>2</v>
      </c>
      <c r="P26" t="s" s="3">
        <v>78</v>
      </c>
      <c r="Q26" t="s" s="3">
        <v>79</v>
      </c>
      <c r="R26" t="s" s="3">
        <v>80</v>
      </c>
      <c r="S26" t="s" s="3">
        <v>81</v>
      </c>
    </row>
    <row r="27" ht="38.15" customHeight="1">
      <c r="M27" t="s" s="4">
        <v>82</v>
      </c>
      <c r="N27" t="s" s="5">
        <v>19</v>
      </c>
      <c r="O27" t="s" s="6">
        <v>19</v>
      </c>
      <c r="P27" t="s" s="6">
        <v>15</v>
      </c>
      <c r="Q27" t="s" s="6">
        <v>16</v>
      </c>
      <c r="R27" t="s" s="6">
        <v>15</v>
      </c>
      <c r="S27" t="s" s="6">
        <v>16</v>
      </c>
    </row>
    <row r="28" ht="37.95" customHeight="1">
      <c r="M28" t="s" s="7">
        <v>83</v>
      </c>
      <c r="N28" t="s" s="8">
        <v>19</v>
      </c>
      <c r="O28" t="s" s="9">
        <v>19</v>
      </c>
      <c r="P28" t="s" s="9">
        <v>15</v>
      </c>
      <c r="Q28" t="s" s="9">
        <v>16</v>
      </c>
      <c r="R28" t="s" s="9">
        <v>15</v>
      </c>
      <c r="S28" t="s" s="9">
        <v>16</v>
      </c>
    </row>
    <row r="29" ht="22.95" customHeight="1">
      <c r="M29" t="s" s="7">
        <v>84</v>
      </c>
      <c r="N29" t="s" s="8">
        <v>19</v>
      </c>
      <c r="O29" t="s" s="9">
        <v>19</v>
      </c>
      <c r="P29" t="s" s="9">
        <v>15</v>
      </c>
      <c r="Q29" t="s" s="9">
        <v>16</v>
      </c>
      <c r="R29" t="s" s="9">
        <v>15</v>
      </c>
      <c r="S29" t="s" s="9">
        <v>16</v>
      </c>
    </row>
    <row r="30" ht="37.95" customHeight="1">
      <c r="M30" t="s" s="7">
        <v>85</v>
      </c>
      <c r="N30" t="s" s="8">
        <v>19</v>
      </c>
      <c r="O30" t="s" s="9">
        <v>19</v>
      </c>
      <c r="P30" t="s" s="9">
        <v>15</v>
      </c>
      <c r="Q30" t="s" s="9">
        <v>16</v>
      </c>
      <c r="R30" t="s" s="9">
        <v>15</v>
      </c>
      <c r="S30" t="s" s="9">
        <v>16</v>
      </c>
    </row>
    <row r="31" ht="37.95" customHeight="1">
      <c r="M31" t="s" s="7">
        <v>86</v>
      </c>
      <c r="N31" t="s" s="8">
        <v>19</v>
      </c>
      <c r="O31" t="s" s="9">
        <v>19</v>
      </c>
      <c r="P31" t="s" s="9">
        <v>15</v>
      </c>
      <c r="Q31" t="s" s="9">
        <v>16</v>
      </c>
      <c r="R31" t="s" s="9">
        <v>15</v>
      </c>
      <c r="S31" t="s" s="9">
        <v>16</v>
      </c>
    </row>
    <row r="32" ht="22.95" customHeight="1">
      <c r="M32" t="s" s="7">
        <v>87</v>
      </c>
      <c r="N32" t="s" s="8">
        <v>19</v>
      </c>
      <c r="O32" t="s" s="9">
        <v>19</v>
      </c>
      <c r="P32" t="s" s="9">
        <v>15</v>
      </c>
      <c r="Q32" t="s" s="9">
        <v>16</v>
      </c>
      <c r="R32" t="s" s="9">
        <v>15</v>
      </c>
      <c r="S32" t="s" s="9">
        <v>16</v>
      </c>
    </row>
    <row r="33" ht="37.95" customHeight="1">
      <c r="M33" t="s" s="7">
        <v>88</v>
      </c>
      <c r="N33" t="s" s="8">
        <v>19</v>
      </c>
      <c r="O33" t="s" s="9">
        <v>19</v>
      </c>
      <c r="P33" t="s" s="9">
        <v>15</v>
      </c>
      <c r="Q33" t="s" s="9">
        <v>16</v>
      </c>
      <c r="R33" t="s" s="9">
        <v>15</v>
      </c>
      <c r="S33" t="s" s="9">
        <v>16</v>
      </c>
    </row>
    <row r="34" ht="22.95" customHeight="1">
      <c r="M34" t="s" s="7">
        <v>89</v>
      </c>
      <c r="N34" t="s" s="8">
        <v>19</v>
      </c>
      <c r="O34" t="s" s="9">
        <v>19</v>
      </c>
      <c r="P34" t="s" s="9">
        <v>15</v>
      </c>
      <c r="Q34" t="s" s="9">
        <v>16</v>
      </c>
      <c r="R34" t="s" s="9">
        <v>15</v>
      </c>
      <c r="S34" t="s" s="9">
        <v>16</v>
      </c>
    </row>
    <row r="35" ht="22.95" customHeight="1">
      <c r="M35" t="s" s="7">
        <v>90</v>
      </c>
      <c r="N35" t="s" s="8">
        <v>19</v>
      </c>
      <c r="O35" t="s" s="9">
        <v>19</v>
      </c>
      <c r="P35" t="s" s="9">
        <v>15</v>
      </c>
      <c r="Q35" t="s" s="9">
        <v>16</v>
      </c>
      <c r="R35" t="s" s="9">
        <v>15</v>
      </c>
      <c r="S35" t="s" s="9">
        <v>16</v>
      </c>
    </row>
    <row r="36" ht="152.05" customHeight="1">
      <c r="M36" t="s" s="7">
        <v>91</v>
      </c>
      <c r="N36" t="s" s="8">
        <v>193</v>
      </c>
      <c r="O36" t="s" s="9">
        <v>19</v>
      </c>
      <c r="P36" t="s" s="9">
        <v>16</v>
      </c>
      <c r="Q36" t="s" s="9">
        <v>15</v>
      </c>
      <c r="R36" t="s" s="9">
        <v>15</v>
      </c>
      <c r="S36" t="s" s="9">
        <v>16</v>
      </c>
    </row>
    <row r="37" ht="22.95" customHeight="1">
      <c r="M37" t="s" s="7">
        <v>76</v>
      </c>
      <c r="N37" s="10"/>
      <c r="O37" s="11"/>
      <c r="P37" s="12">
        <f>COUNTIF(P27:P36,"=True")</f>
        <v>9</v>
      </c>
      <c r="Q37" s="12">
        <f>COUNTIF(Q27:Q36,"=True")</f>
        <v>1</v>
      </c>
      <c r="R37" s="12">
        <f>COUNTIF(R27:R36,"=True")</f>
        <v>10</v>
      </c>
      <c r="S37" s="12">
        <f>COUNTIF(S27:S36,"=True")</f>
        <v>0</v>
      </c>
    </row>
    <row r="39" ht="27.65" customHeight="1">
      <c r="T39" t="s" s="2">
        <v>92</v>
      </c>
      <c r="U39" s="2"/>
      <c r="V39" s="2"/>
      <c r="W39" s="2"/>
      <c r="X39" s="2"/>
    </row>
    <row r="40" ht="20.25" customHeight="1">
      <c r="T40" s="15"/>
      <c r="U40" t="s" s="3">
        <v>93</v>
      </c>
      <c r="V40" t="s" s="3">
        <v>94</v>
      </c>
      <c r="W40" t="s" s="3">
        <v>95</v>
      </c>
      <c r="X40" t="s" s="3">
        <v>96</v>
      </c>
    </row>
    <row r="41" ht="20.25" customHeight="1">
      <c r="T41" t="s" s="16">
        <v>1</v>
      </c>
      <c r="U41" s="17">
        <f>E23</f>
        <v>8</v>
      </c>
      <c r="V41" s="18">
        <f>F23+Q37</f>
        <v>12</v>
      </c>
      <c r="W41" s="18">
        <f>P37</f>
        <v>9</v>
      </c>
      <c r="X41" s="18">
        <f>G23</f>
        <v>1</v>
      </c>
    </row>
    <row r="42" ht="20.05" customHeight="1">
      <c r="T42" t="s" s="19">
        <v>2</v>
      </c>
      <c r="U42" s="20">
        <f>H23</f>
        <v>16</v>
      </c>
      <c r="V42" s="12">
        <f>I23+S37</f>
        <v>0</v>
      </c>
      <c r="W42" s="12">
        <f>R37</f>
        <v>10</v>
      </c>
      <c r="X42" s="12">
        <f>J23</f>
        <v>4</v>
      </c>
    </row>
    <row r="44" ht="27.65" customHeight="1">
      <c r="Y44" t="s" s="2">
        <v>97</v>
      </c>
      <c r="Z44" s="2"/>
      <c r="AA44" s="2"/>
      <c r="AB44" s="2"/>
      <c r="AC44" s="2"/>
    </row>
    <row r="45" ht="20.25" customHeight="1">
      <c r="Y45" s="15"/>
      <c r="Z45" t="s" s="3">
        <v>98</v>
      </c>
      <c r="AA45" t="s" s="3">
        <v>99</v>
      </c>
      <c r="AB45" t="s" s="3">
        <v>100</v>
      </c>
      <c r="AC45" t="s" s="3">
        <v>101</v>
      </c>
    </row>
    <row r="46" ht="20.25" customHeight="1">
      <c r="Y46" t="s" s="16">
        <v>1</v>
      </c>
      <c r="Z46" s="17">
        <f>U41/(U41+V41)</f>
        <v>0.4</v>
      </c>
      <c r="AA46" s="18">
        <f>U41/(U41+X41)</f>
        <v>0.888888888888889</v>
      </c>
      <c r="AB46" s="18">
        <f>2*((Z46*AA46)/(Z46+AA46))</f>
        <v>0.551724137931035</v>
      </c>
      <c r="AC46" s="18">
        <f>K23/20</f>
        <v>0.95</v>
      </c>
    </row>
    <row r="47" ht="20.05" customHeight="1">
      <c r="Y47" t="s" s="19">
        <v>2</v>
      </c>
      <c r="Z47" s="20">
        <f>U42/(U42+V42)</f>
        <v>1</v>
      </c>
      <c r="AA47" s="12">
        <f>U42/(U42+X42)</f>
        <v>0.8</v>
      </c>
      <c r="AB47" s="12">
        <f>2*((Z47*AA47)/(Z47+AA47))</f>
        <v>0.888888888888889</v>
      </c>
      <c r="AC47" s="12">
        <f>L23/20</f>
        <v>0.8</v>
      </c>
    </row>
  </sheetData>
  <mergeCells count="4">
    <mergeCell ref="A1:L1"/>
    <mergeCell ref="M25:S25"/>
    <mergeCell ref="T39:X39"/>
    <mergeCell ref="Y44:AC44"/>
  </mergeCells>
  <hyperlinks>
    <hyperlink ref="B3" r:id="rId1" location="" tooltip="" display="https://www.acibadem.com.tr/ilgi-alani/acik-kalp-ameliyati/"/>
    <hyperlink ref="C3" r:id="rId2" location="" tooltip="" display="https://www.acibadem.com.tr/ilgi-alani/acik-kalp-ameliyati/"/>
    <hyperlink ref="D3" r:id="rId3" location="" tooltip="" display="https://www.acibadem.com.tr/ilgi-alani/acik-kalp-ameliyati/"/>
    <hyperlink ref="B4" r:id="rId4" location="" tooltip="" display="https://www.acibadem.com.tr/acibadem-de/onkolojik-cerrahi/"/>
    <hyperlink ref="C4" r:id="rId5" location="" tooltip="" display="https://www.acibadem.com.tr/acibadem-de/onkolojik-cerrahi/"/>
    <hyperlink ref="D4" r:id="rId6" location="" tooltip="" display="https://www.acibadem.com.tr/acibadem-de/onkolojik-cerrahi/"/>
    <hyperlink ref="B5" r:id="rId7" location="" tooltip="" display="https://www.acibadem.com.tr/ilgi-alani/mide-bulantisi-neden-olur-surekli-mide-bulantisi-nedenleri/"/>
    <hyperlink ref="C5" r:id="rId8" location="" tooltip="" display="https://www.acibadem.com.tr/ilgi-alani/mide-bulantisi-neden-olur-surekli-mide-bulantisi-nedenleri/"/>
    <hyperlink ref="D5" r:id="rId9" location="" tooltip="" display="https://www.acibadem.com.tr/ilgi-alani/mide-bulantisi-neden-olur-surekli-mide-bulantisi-nedenleri/"/>
    <hyperlink ref="B6" r:id="rId10" location="" tooltip="" display="https://www.acibadem.com.tr/ilgi-alani/agiz-yarasi-nedir-belirtileri-ve-nedenleri/"/>
    <hyperlink ref="C6" r:id="rId11" location="" tooltip="" display="https://www.acibadem.com.tr/ilgi-alani/agiz-yarasi-nedir-belirtileri-ve-nedenleri/"/>
    <hyperlink ref="D6" r:id="rId12" location="" tooltip="" display="https://www.acibadem.com.tr/ilgi-alani/agiz-yarasi-nedir-belirtileri-ve-nedenleri/"/>
    <hyperlink ref="B7" r:id="rId13" location="" tooltip="" display="https://www.acibadem.com.tr/ilgi-alani/adet-gecikmesi-nedenleri-regl-gecikmesi-neden-olur/"/>
    <hyperlink ref="C7" r:id="rId14" location="" tooltip="" display="https://www.acibadem.com.tr/ilgi-alani/adet-gecikmesi-nedenleri-regl-gecikmesi-neden-olur/"/>
    <hyperlink ref="D7" r:id="rId15" location="" tooltip="" display="https://www.acibadem.com.tr/ilgi-alani/adet-gecikmesi-nedenleri-regl-gecikmesi-neden-olur/"/>
    <hyperlink ref="B8" r:id="rId16" location="" tooltip="" display="https://www.acibadem.com.tr/ilgi-alani/adh-vazopressin-nedir/"/>
    <hyperlink ref="D8" r:id="rId17" location="" tooltip="" display="https://www.acibadem.com.tr/ilgi-alani/adh-vazopressin-nedir/"/>
    <hyperlink ref="B9" r:id="rId18" location="" tooltip="" display="https://www.acibadem.com.tr/ilgi-alani/bel-fitigi-nedir/"/>
    <hyperlink ref="C9" r:id="rId19" location="" tooltip="" display="https://www.acibadem.com.tr/ilgi-alani/bel-fitigi-nedir/"/>
    <hyperlink ref="D9" r:id="rId20" location="" tooltip="" display="https://www.acibadem.com.tr/ilgi-alani/bel-fitigi-nedir/"/>
    <hyperlink ref="B10" r:id="rId21" location="" tooltip="" display="https://www.acibadem.com.tr/ilgi-alani/ampute-ne-demek/"/>
    <hyperlink ref="D10" r:id="rId22" location="" tooltip="" display="https://www.acibadem.com.tr/ilgi-alani/ampute-ne-demek/"/>
    <hyperlink ref="B11" r:id="rId23" location="" tooltip="" display="https://www.acibadem.com.tr/ilgi-alani/amilaz-nedir/"/>
    <hyperlink ref="D11" r:id="rId24" location="" tooltip="" display="https://www.acibadem.com.tr/ilgi-alani/amilaz-nedir/"/>
    <hyperlink ref="B12" r:id="rId25" location="" tooltip="" display="https://www.acibadem.com.tr/ilgi-alani/ameliyatsiz-goz-kapagi-estetigi/"/>
    <hyperlink ref="C12" r:id="rId26" location="" tooltip="" display="https://www.acibadem.com.tr/ilgi-alani/ameliyatsiz-goz-kapagi-estetigi/"/>
    <hyperlink ref="D12" r:id="rId27" location="" tooltip="" display="https://www.acibadem.com.tr/ilgi-alani/ameliyatsiz-goz-kapagi-estetigi/"/>
    <hyperlink ref="B13" r:id="rId28" location="" tooltip="" display="https://www.acibadem.com.tr/ilgi-alani/amiloidoz-nedir-organlarda-protein-birikimi/"/>
    <hyperlink ref="C13" r:id="rId29" location="" tooltip="" display="https://www.acibadem.com.tr/ilgi-alani/amiloidoz-nedir-organlarda-protein-birikimi/"/>
    <hyperlink ref="D13" r:id="rId30" location="" tooltip="" display="https://www.acibadem.com.tr/ilgi-alani/amiloidoz-nedir-organlarda-protein-birikimi/"/>
    <hyperlink ref="D14" r:id="rId31" location="" tooltip="" display="https://www.acibadem.com.tr/ilgi-alani/amok-hastaligi-nedir-ani-ofke-patlamalari/"/>
    <hyperlink ref="B15" r:id="rId32" location="" tooltip="" display="https://www.acibadem.com.tr/ilgi-alani/anoreksiya-nedir-anoreksiya-nervoza-belirtileri/"/>
    <hyperlink ref="C15" r:id="rId33" location="" tooltip="" display="https://www.acibadem.com.tr/ilgi-alani/anoreksiya-nedir-anoreksiya-nervoza-belirtileri/"/>
    <hyperlink ref="D15" r:id="rId34" location="" tooltip="" display="https://www.acibadem.com.tr/ilgi-alani/anoreksiya-nedir-anoreksiya-nervoza-belirtileri/"/>
    <hyperlink ref="B16" r:id="rId35" location="" tooltip="" display="https://www.acibadem.com.tr/ilgi-alani/ankilozan-spondilit/"/>
    <hyperlink ref="C16" r:id="rId36" location="" tooltip="" display="https://www.acibadem.com.tr/ilgi-alani/ankilozan-spondilit/"/>
    <hyperlink ref="D16" r:id="rId37" location="" tooltip="" display="https://www.acibadem.com.tr/ilgi-alani/ankilozan-spondilit/"/>
    <hyperlink ref="B17" r:id="rId38" location="" tooltip="" display="https://www.acibadem.com.tr/ilgi-alani/anksiyete/"/>
    <hyperlink ref="C17" r:id="rId39" location="" tooltip="" display="https://www.acibadem.com.tr/ilgi-alani/anksiyete/"/>
    <hyperlink ref="D17" r:id="rId40" location="" tooltip="" display="https://www.acibadem.com.tr/ilgi-alani/anksiyete/"/>
    <hyperlink ref="B18" r:id="rId41" location="" tooltip="" display="https://www.acibadem.com.tr/ilgi-alani/baso-bazofil-nedir-yuksekligi-dusuklugu/"/>
    <hyperlink ref="C18" r:id="rId42" location="" tooltip="" display="https://www.acibadem.com.tr/ilgi-alani/baso-bazofil-nedir-yuksekligi-dusuklugu/"/>
    <hyperlink ref="D18" r:id="rId43" location="" tooltip="" display="https://www.acibadem.com.tr/ilgi-alani/baso-bazofil-nedir-yuksekligi-dusuklugu/"/>
    <hyperlink ref="B19" r:id="rId44" location="" tooltip="" display="https://www.acibadem.com.tr/ilgi-alani/antikor/"/>
    <hyperlink ref="C19" r:id="rId45" location="" tooltip="" display="https://www.acibadem.com.tr/ilgi-alani/antikor/"/>
    <hyperlink ref="D19" r:id="rId46" location="" tooltip="" display="https://www.acibadem.com.tr/ilgi-alani/antikor/"/>
    <hyperlink ref="B20" r:id="rId47" location="" tooltip="" display="https://www.acibadem.com.tr/ilgi-alani/ari-sokmasi/"/>
    <hyperlink ref="C20" r:id="rId48" location="" tooltip="" display="https://www.acibadem.com.tr/ilgi-alani/ari-sokmasi/"/>
    <hyperlink ref="D20" r:id="rId49" location="" tooltip="" display="https://www.acibadem.com.tr/ilgi-alani/ari-sokmasi/"/>
    <hyperlink ref="B21" r:id="rId50" location="" tooltip="" display="https://www.acibadem.com.tr/ilgi-alani/arrest-nedir-kardiyak-arrest-nedir/"/>
    <hyperlink ref="C21" r:id="rId51" location="" tooltip="" display="https://www.acibadem.com.tr/ilgi-alani/arrest-nedir-kardiyak-arrest-nedir/"/>
    <hyperlink ref="D21" r:id="rId52" location="" tooltip="" display="https://www.acibadem.com.tr/ilgi-alani/arrest-nedir-kardiyak-arrest-nedir/"/>
    <hyperlink ref="B22" r:id="rId53" location="" tooltip="" display="https://www.acibadem.com.tr/ilgi-alani/aort-kapak-darligi-nedir/"/>
    <hyperlink ref="C22" r:id="rId54" location="" tooltip="" display="https://www.acibadem.com.tr/ilgi-alani/aort-kapak-darligi-nedir/"/>
    <hyperlink ref="D22" r:id="rId55" location="" tooltip="" display="https://www.acibadem.com.tr/ilgi-alani/aort-kapak-darligi-nedir/"/>
    <hyperlink ref="N36" r:id="rId56" location="" tooltip="" display="https://www.acibadem.com.tr/ilgi-alani/araknoid-kist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8.4375" style="34" customWidth="1"/>
    <col min="2" max="2" width="38.2812" style="34" customWidth="1"/>
    <col min="3" max="4" width="43" style="34" customWidth="1"/>
    <col min="5" max="5" width="15.5" style="34" customWidth="1"/>
    <col min="6" max="6" width="16.1719" style="34" customWidth="1"/>
    <col min="7" max="7" width="17" style="34" customWidth="1"/>
    <col min="8" max="8" width="15.5" style="34" customWidth="1"/>
    <col min="9" max="9" width="16.1719" style="34" customWidth="1"/>
    <col min="10" max="10" width="17" style="34" customWidth="1"/>
    <col min="11" max="12" width="31.5" style="34" customWidth="1"/>
    <col min="13" max="13" width="28.4375" style="35" customWidth="1"/>
    <col min="14" max="19" width="16.3516" style="35" customWidth="1"/>
    <col min="20" max="24" width="16.3516" style="36" customWidth="1"/>
    <col min="25" max="29" width="16.3516" style="37" customWidth="1"/>
    <col min="30" max="16384" width="16.3516" style="3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</row>
    <row r="3" ht="332.25" customHeight="1">
      <c r="A3" t="s" s="4">
        <v>12</v>
      </c>
      <c r="B3" t="s" s="5">
        <v>194</v>
      </c>
      <c r="C3" t="s" s="6">
        <v>195</v>
      </c>
      <c r="D3" t="s" s="6">
        <v>14</v>
      </c>
      <c r="E3" t="s" s="6">
        <v>16</v>
      </c>
      <c r="F3" t="s" s="6">
        <v>15</v>
      </c>
      <c r="G3" t="s" s="6">
        <v>16</v>
      </c>
      <c r="H3" t="s" s="6">
        <v>15</v>
      </c>
      <c r="I3" t="s" s="6">
        <v>16</v>
      </c>
      <c r="J3" t="s" s="6">
        <v>16</v>
      </c>
      <c r="K3" t="s" s="6">
        <v>15</v>
      </c>
      <c r="L3" t="s" s="6">
        <v>15</v>
      </c>
    </row>
    <row r="4" ht="248.05" customHeight="1">
      <c r="A4" t="s" s="7">
        <v>17</v>
      </c>
      <c r="B4" t="s" s="8">
        <v>196</v>
      </c>
      <c r="C4" t="s" s="9">
        <v>197</v>
      </c>
      <c r="D4" t="s" s="9">
        <v>20</v>
      </c>
      <c r="E4" t="s" s="9">
        <v>16</v>
      </c>
      <c r="F4" t="s" s="9">
        <v>15</v>
      </c>
      <c r="G4" t="s" s="9">
        <v>16</v>
      </c>
      <c r="H4" t="s" s="9">
        <v>15</v>
      </c>
      <c r="I4" t="s" s="9">
        <v>16</v>
      </c>
      <c r="J4" t="s" s="9">
        <v>16</v>
      </c>
      <c r="K4" t="s" s="9">
        <v>15</v>
      </c>
      <c r="L4" t="s" s="9">
        <v>15</v>
      </c>
    </row>
    <row r="5" ht="140.05" customHeight="1">
      <c r="A5" t="s" s="7">
        <v>21</v>
      </c>
      <c r="B5" t="s" s="8">
        <v>198</v>
      </c>
      <c r="C5" t="s" s="9">
        <v>199</v>
      </c>
      <c r="D5" t="s" s="9">
        <v>23</v>
      </c>
      <c r="E5" t="s" s="9">
        <v>16</v>
      </c>
      <c r="F5" t="s" s="9">
        <v>15</v>
      </c>
      <c r="G5" t="s" s="9">
        <v>16</v>
      </c>
      <c r="H5" t="s" s="9">
        <v>15</v>
      </c>
      <c r="I5" t="s" s="9">
        <v>16</v>
      </c>
      <c r="J5" t="s" s="9">
        <v>16</v>
      </c>
      <c r="K5" t="s" s="9">
        <v>15</v>
      </c>
      <c r="L5" t="s" s="9">
        <v>15</v>
      </c>
    </row>
    <row r="6" ht="92.05" customHeight="1">
      <c r="A6" t="s" s="7">
        <v>24</v>
      </c>
      <c r="B6" t="s" s="8">
        <v>200</v>
      </c>
      <c r="C6" t="s" s="9">
        <v>201</v>
      </c>
      <c r="D6" t="s" s="9">
        <v>27</v>
      </c>
      <c r="E6" t="s" s="9">
        <v>16</v>
      </c>
      <c r="F6" t="s" s="9">
        <v>15</v>
      </c>
      <c r="G6" t="s" s="9">
        <v>16</v>
      </c>
      <c r="H6" t="s" s="9">
        <v>15</v>
      </c>
      <c r="I6" t="s" s="9">
        <v>16</v>
      </c>
      <c r="J6" t="s" s="9">
        <v>16</v>
      </c>
      <c r="K6" t="s" s="9">
        <v>15</v>
      </c>
      <c r="L6" t="s" s="9">
        <v>15</v>
      </c>
    </row>
    <row r="7" ht="200.05" customHeight="1">
      <c r="A7" t="s" s="7">
        <v>28</v>
      </c>
      <c r="B7" t="s" s="8">
        <v>202</v>
      </c>
      <c r="C7" t="s" s="9">
        <v>19</v>
      </c>
      <c r="D7" t="s" s="9">
        <v>30</v>
      </c>
      <c r="E7" t="s" s="9">
        <v>16</v>
      </c>
      <c r="F7" t="s" s="9">
        <v>15</v>
      </c>
      <c r="G7" t="s" s="9">
        <v>16</v>
      </c>
      <c r="H7" t="s" s="9">
        <v>16</v>
      </c>
      <c r="I7" t="s" s="9">
        <v>16</v>
      </c>
      <c r="J7" t="s" s="9">
        <v>15</v>
      </c>
      <c r="K7" t="s" s="9">
        <v>15</v>
      </c>
      <c r="L7" t="s" s="9">
        <v>16</v>
      </c>
    </row>
    <row r="8" ht="44.05" customHeight="1">
      <c r="A8" t="s" s="7">
        <v>31</v>
      </c>
      <c r="B8" t="s" s="8">
        <v>203</v>
      </c>
      <c r="C8" t="s" s="9">
        <v>19</v>
      </c>
      <c r="D8" t="s" s="9">
        <v>33</v>
      </c>
      <c r="E8" t="s" s="9">
        <v>15</v>
      </c>
      <c r="F8" t="s" s="9">
        <v>16</v>
      </c>
      <c r="G8" t="s" s="9">
        <v>16</v>
      </c>
      <c r="H8" t="s" s="9">
        <v>16</v>
      </c>
      <c r="I8" t="s" s="9">
        <v>16</v>
      </c>
      <c r="J8" t="s" s="9">
        <v>15</v>
      </c>
      <c r="K8" t="s" s="9">
        <v>15</v>
      </c>
      <c r="L8" t="s" s="9">
        <v>16</v>
      </c>
    </row>
    <row r="9" ht="140.05" customHeight="1">
      <c r="A9" t="s" s="7">
        <v>34</v>
      </c>
      <c r="B9" t="s" s="8">
        <v>204</v>
      </c>
      <c r="C9" t="s" s="9">
        <v>205</v>
      </c>
      <c r="D9" t="s" s="9">
        <v>36</v>
      </c>
      <c r="E9" t="s" s="9">
        <v>16</v>
      </c>
      <c r="F9" t="s" s="9">
        <v>15</v>
      </c>
      <c r="G9" t="s" s="9">
        <v>16</v>
      </c>
      <c r="H9" t="s" s="9">
        <v>15</v>
      </c>
      <c r="I9" t="s" s="9">
        <v>16</v>
      </c>
      <c r="J9" t="s" s="9">
        <v>16</v>
      </c>
      <c r="K9" t="s" s="9">
        <v>15</v>
      </c>
      <c r="L9" t="s" s="9">
        <v>15</v>
      </c>
    </row>
    <row r="10" ht="44.05" customHeight="1">
      <c r="A10" t="s" s="7">
        <v>37</v>
      </c>
      <c r="B10" t="s" s="8">
        <v>206</v>
      </c>
      <c r="C10" t="s" s="9">
        <v>19</v>
      </c>
      <c r="D10" t="s" s="9">
        <v>39</v>
      </c>
      <c r="E10" t="s" s="9">
        <v>15</v>
      </c>
      <c r="F10" t="s" s="9">
        <v>16</v>
      </c>
      <c r="G10" t="s" s="9">
        <v>16</v>
      </c>
      <c r="H10" t="s" s="9">
        <v>16</v>
      </c>
      <c r="I10" t="s" s="9">
        <v>16</v>
      </c>
      <c r="J10" t="s" s="9">
        <v>15</v>
      </c>
      <c r="K10" t="s" s="9">
        <v>15</v>
      </c>
      <c r="L10" t="s" s="9">
        <v>16</v>
      </c>
    </row>
    <row r="11" ht="116.05" customHeight="1">
      <c r="A11" t="s" s="7">
        <v>40</v>
      </c>
      <c r="B11" t="s" s="8">
        <v>207</v>
      </c>
      <c r="C11" t="s" s="9">
        <v>19</v>
      </c>
      <c r="D11" t="s" s="9">
        <v>42</v>
      </c>
      <c r="E11" t="s" s="9">
        <v>16</v>
      </c>
      <c r="F11" t="s" s="9">
        <v>15</v>
      </c>
      <c r="G11" t="s" s="9">
        <v>16</v>
      </c>
      <c r="H11" t="s" s="9">
        <v>16</v>
      </c>
      <c r="I11" t="s" s="9">
        <v>16</v>
      </c>
      <c r="J11" t="s" s="9">
        <v>15</v>
      </c>
      <c r="K11" t="s" s="9">
        <v>15</v>
      </c>
      <c r="L11" t="s" s="9">
        <v>16</v>
      </c>
    </row>
    <row r="12" ht="104.05" customHeight="1">
      <c r="A12" t="s" s="7">
        <v>43</v>
      </c>
      <c r="B12" t="s" s="8">
        <v>208</v>
      </c>
      <c r="C12" t="s" s="9">
        <v>209</v>
      </c>
      <c r="D12" t="s" s="9">
        <v>45</v>
      </c>
      <c r="E12" t="s" s="9">
        <v>16</v>
      </c>
      <c r="F12" t="s" s="9">
        <v>15</v>
      </c>
      <c r="G12" t="s" s="9">
        <v>16</v>
      </c>
      <c r="H12" t="s" s="9">
        <v>15</v>
      </c>
      <c r="I12" t="s" s="9">
        <v>16</v>
      </c>
      <c r="J12" t="s" s="9">
        <v>16</v>
      </c>
      <c r="K12" t="s" s="9">
        <v>15</v>
      </c>
      <c r="L12" t="s" s="9">
        <v>15</v>
      </c>
    </row>
    <row r="13" ht="52.95" customHeight="1">
      <c r="A13" t="s" s="7">
        <v>46</v>
      </c>
      <c r="B13" t="s" s="8">
        <v>210</v>
      </c>
      <c r="C13" t="s" s="9">
        <v>210</v>
      </c>
      <c r="D13" t="s" s="9">
        <v>48</v>
      </c>
      <c r="E13" t="s" s="9">
        <v>15</v>
      </c>
      <c r="F13" t="s" s="9">
        <v>16</v>
      </c>
      <c r="G13" t="s" s="9">
        <v>16</v>
      </c>
      <c r="H13" t="s" s="9">
        <v>15</v>
      </c>
      <c r="I13" t="s" s="9">
        <v>16</v>
      </c>
      <c r="J13" t="s" s="9">
        <v>16</v>
      </c>
      <c r="K13" t="s" s="9">
        <v>15</v>
      </c>
      <c r="L13" t="s" s="9">
        <v>15</v>
      </c>
    </row>
    <row r="14" ht="37.95" customHeight="1">
      <c r="A14" t="s" s="7">
        <v>49</v>
      </c>
      <c r="B14" t="s" s="8">
        <v>19</v>
      </c>
      <c r="C14" t="s" s="9">
        <v>19</v>
      </c>
      <c r="D14" t="s" s="9">
        <v>50</v>
      </c>
      <c r="E14" t="s" s="9">
        <v>16</v>
      </c>
      <c r="F14" t="s" s="9">
        <v>16</v>
      </c>
      <c r="G14" t="s" s="9">
        <v>15</v>
      </c>
      <c r="H14" t="s" s="9">
        <v>16</v>
      </c>
      <c r="I14" t="s" s="9">
        <v>16</v>
      </c>
      <c r="J14" t="s" s="9">
        <v>15</v>
      </c>
      <c r="K14" t="s" s="9">
        <v>16</v>
      </c>
      <c r="L14" t="s" s="9">
        <v>16</v>
      </c>
    </row>
    <row r="15" ht="176.05" customHeight="1">
      <c r="A15" t="s" s="7">
        <v>51</v>
      </c>
      <c r="B15" t="s" s="8">
        <v>211</v>
      </c>
      <c r="C15" t="s" s="9">
        <v>212</v>
      </c>
      <c r="D15" t="s" s="9">
        <v>53</v>
      </c>
      <c r="E15" t="s" s="9">
        <v>16</v>
      </c>
      <c r="F15" t="s" s="9">
        <v>15</v>
      </c>
      <c r="G15" t="s" s="9">
        <v>16</v>
      </c>
      <c r="H15" t="s" s="9">
        <v>15</v>
      </c>
      <c r="I15" t="s" s="9">
        <v>16</v>
      </c>
      <c r="J15" t="s" s="9">
        <v>16</v>
      </c>
      <c r="K15" t="s" s="9">
        <v>15</v>
      </c>
      <c r="L15" t="s" s="9">
        <v>15</v>
      </c>
    </row>
    <row r="16" ht="44.05" customHeight="1">
      <c r="A16" t="s" s="7">
        <v>54</v>
      </c>
      <c r="B16" t="s" s="8">
        <v>213</v>
      </c>
      <c r="C16" t="s" s="9">
        <v>213</v>
      </c>
      <c r="D16" t="s" s="9">
        <v>56</v>
      </c>
      <c r="E16" t="s" s="9">
        <v>15</v>
      </c>
      <c r="F16" t="s" s="9">
        <v>16</v>
      </c>
      <c r="G16" t="s" s="9">
        <v>16</v>
      </c>
      <c r="H16" t="s" s="9">
        <v>15</v>
      </c>
      <c r="I16" t="s" s="9">
        <v>16</v>
      </c>
      <c r="J16" t="s" s="9">
        <v>16</v>
      </c>
      <c r="K16" t="s" s="9">
        <v>15</v>
      </c>
      <c r="L16" t="s" s="9">
        <v>15</v>
      </c>
    </row>
    <row r="17" ht="32.05" customHeight="1">
      <c r="A17" t="s" s="7">
        <v>57</v>
      </c>
      <c r="B17" t="s" s="8">
        <v>214</v>
      </c>
      <c r="C17" t="s" s="9">
        <v>19</v>
      </c>
      <c r="D17" t="s" s="9">
        <v>59</v>
      </c>
      <c r="E17" t="s" s="9">
        <v>15</v>
      </c>
      <c r="F17" t="s" s="9">
        <v>16</v>
      </c>
      <c r="G17" t="s" s="9">
        <v>16</v>
      </c>
      <c r="H17" t="s" s="9">
        <v>16</v>
      </c>
      <c r="I17" t="s" s="9">
        <v>16</v>
      </c>
      <c r="J17" t="s" s="9">
        <v>15</v>
      </c>
      <c r="K17" t="s" s="9">
        <v>15</v>
      </c>
      <c r="L17" t="s" s="9">
        <v>16</v>
      </c>
    </row>
    <row r="18" ht="44.05" customHeight="1">
      <c r="A18" t="s" s="7">
        <v>60</v>
      </c>
      <c r="B18" t="s" s="8">
        <v>215</v>
      </c>
      <c r="C18" t="s" s="9">
        <v>215</v>
      </c>
      <c r="D18" t="s" s="9">
        <v>62</v>
      </c>
      <c r="E18" t="s" s="9">
        <v>15</v>
      </c>
      <c r="F18" t="s" s="9">
        <v>16</v>
      </c>
      <c r="G18" t="s" s="9">
        <v>16</v>
      </c>
      <c r="H18" t="s" s="9">
        <v>15</v>
      </c>
      <c r="I18" t="s" s="9">
        <v>16</v>
      </c>
      <c r="J18" t="s" s="9">
        <v>16</v>
      </c>
      <c r="K18" t="s" s="9">
        <v>15</v>
      </c>
      <c r="L18" t="s" s="9">
        <v>15</v>
      </c>
    </row>
    <row r="19" ht="32.05" customHeight="1">
      <c r="A19" t="s" s="7">
        <v>63</v>
      </c>
      <c r="B19" t="s" s="8">
        <v>216</v>
      </c>
      <c r="C19" t="s" s="9">
        <v>216</v>
      </c>
      <c r="D19" t="s" s="9">
        <v>65</v>
      </c>
      <c r="E19" t="s" s="9">
        <v>15</v>
      </c>
      <c r="F19" t="s" s="9">
        <v>16</v>
      </c>
      <c r="G19" t="s" s="9">
        <v>16</v>
      </c>
      <c r="H19" t="s" s="9">
        <v>15</v>
      </c>
      <c r="I19" t="s" s="9">
        <v>16</v>
      </c>
      <c r="J19" t="s" s="9">
        <v>16</v>
      </c>
      <c r="K19" t="s" s="9">
        <v>15</v>
      </c>
      <c r="L19" t="s" s="9">
        <v>15</v>
      </c>
    </row>
    <row r="20" ht="32.05" customHeight="1">
      <c r="A20" t="s" s="7">
        <v>66</v>
      </c>
      <c r="B20" t="s" s="8">
        <v>217</v>
      </c>
      <c r="C20" t="s" s="9">
        <v>217</v>
      </c>
      <c r="D20" t="s" s="9">
        <v>68</v>
      </c>
      <c r="E20" t="s" s="9">
        <v>15</v>
      </c>
      <c r="F20" t="s" s="9">
        <v>16</v>
      </c>
      <c r="G20" t="s" s="9">
        <v>16</v>
      </c>
      <c r="H20" t="s" s="9">
        <v>15</v>
      </c>
      <c r="I20" t="s" s="9">
        <v>16</v>
      </c>
      <c r="J20" t="s" s="9">
        <v>16</v>
      </c>
      <c r="K20" t="s" s="9">
        <v>15</v>
      </c>
      <c r="L20" t="s" s="9">
        <v>15</v>
      </c>
    </row>
    <row r="21" ht="80.05" customHeight="1">
      <c r="A21" t="s" s="7">
        <v>69</v>
      </c>
      <c r="B21" t="s" s="8">
        <v>218</v>
      </c>
      <c r="C21" t="s" s="9">
        <v>219</v>
      </c>
      <c r="D21" t="s" s="9">
        <v>71</v>
      </c>
      <c r="E21" t="s" s="9">
        <v>16</v>
      </c>
      <c r="F21" t="s" s="9">
        <v>15</v>
      </c>
      <c r="G21" t="s" s="9">
        <v>16</v>
      </c>
      <c r="H21" t="s" s="9">
        <v>15</v>
      </c>
      <c r="I21" t="s" s="9">
        <v>16</v>
      </c>
      <c r="J21" t="s" s="9">
        <v>16</v>
      </c>
      <c r="K21" t="s" s="9">
        <v>15</v>
      </c>
      <c r="L21" t="s" s="9">
        <v>15</v>
      </c>
    </row>
    <row r="22" ht="80.05" customHeight="1">
      <c r="A22" t="s" s="7">
        <v>72</v>
      </c>
      <c r="B22" t="s" s="8">
        <v>220</v>
      </c>
      <c r="C22" t="s" s="9">
        <v>221</v>
      </c>
      <c r="D22" t="s" s="9">
        <v>75</v>
      </c>
      <c r="E22" t="s" s="9">
        <v>16</v>
      </c>
      <c r="F22" t="s" s="9">
        <v>15</v>
      </c>
      <c r="G22" t="s" s="9">
        <v>16</v>
      </c>
      <c r="H22" t="s" s="9">
        <v>15</v>
      </c>
      <c r="I22" t="s" s="9">
        <v>16</v>
      </c>
      <c r="J22" t="s" s="9">
        <v>16</v>
      </c>
      <c r="K22" t="s" s="9">
        <v>15</v>
      </c>
      <c r="L22" t="s" s="9">
        <v>15</v>
      </c>
    </row>
    <row r="23" ht="22.95" customHeight="1">
      <c r="A23" t="s" s="7">
        <v>76</v>
      </c>
      <c r="B23" s="10"/>
      <c r="C23" s="11"/>
      <c r="D23" s="11"/>
      <c r="E23" s="12">
        <f>COUNTIF(E3:E22,"=True")</f>
        <v>8</v>
      </c>
      <c r="F23" s="12">
        <f>COUNTIF(F3:F22,"=True")</f>
        <v>11</v>
      </c>
      <c r="G23" s="12">
        <f>COUNTIF(G3:G22,"=True")</f>
        <v>1</v>
      </c>
      <c r="H23" s="12">
        <f>COUNTIF(H3:H22,"=True")</f>
        <v>14</v>
      </c>
      <c r="I23" s="12">
        <f>COUNTIF(I3:I22,"=True")</f>
        <v>0</v>
      </c>
      <c r="J23" s="12">
        <f>COUNTIF(J3:J22,"=True")</f>
        <v>6</v>
      </c>
      <c r="K23" s="12">
        <f>COUNTIF(K3:K22,"=True")</f>
        <v>19</v>
      </c>
      <c r="L23" s="12">
        <f>COUNTIF(L3:L22,"=True")</f>
        <v>14</v>
      </c>
    </row>
    <row r="25" ht="27.65" customHeight="1">
      <c r="M25" t="s" s="2">
        <v>77</v>
      </c>
      <c r="N25" s="2"/>
      <c r="O25" s="2"/>
      <c r="P25" s="2"/>
      <c r="Q25" s="2"/>
      <c r="R25" s="2"/>
      <c r="S25" s="2"/>
    </row>
    <row r="26" ht="20.25" customHeight="1">
      <c r="M26" t="s" s="3">
        <v>77</v>
      </c>
      <c r="N26" t="s" s="3">
        <v>1</v>
      </c>
      <c r="O26" t="s" s="3">
        <v>2</v>
      </c>
      <c r="P26" t="s" s="3">
        <v>78</v>
      </c>
      <c r="Q26" t="s" s="3">
        <v>79</v>
      </c>
      <c r="R26" t="s" s="3">
        <v>80</v>
      </c>
      <c r="S26" t="s" s="3">
        <v>81</v>
      </c>
    </row>
    <row r="27" ht="38.15" customHeight="1">
      <c r="M27" t="s" s="4">
        <v>82</v>
      </c>
      <c r="N27" t="s" s="5">
        <v>19</v>
      </c>
      <c r="O27" t="s" s="6">
        <v>19</v>
      </c>
      <c r="P27" t="s" s="6">
        <v>15</v>
      </c>
      <c r="Q27" t="s" s="6">
        <v>16</v>
      </c>
      <c r="R27" t="s" s="6">
        <v>15</v>
      </c>
      <c r="S27" t="s" s="6">
        <v>16</v>
      </c>
    </row>
    <row r="28" ht="37.95" customHeight="1">
      <c r="M28" t="s" s="7">
        <v>83</v>
      </c>
      <c r="N28" t="s" s="8">
        <v>19</v>
      </c>
      <c r="O28" t="s" s="9">
        <v>19</v>
      </c>
      <c r="P28" t="s" s="9">
        <v>15</v>
      </c>
      <c r="Q28" t="s" s="9">
        <v>16</v>
      </c>
      <c r="R28" t="s" s="9">
        <v>15</v>
      </c>
      <c r="S28" t="s" s="9">
        <v>16</v>
      </c>
    </row>
    <row r="29" ht="22.95" customHeight="1">
      <c r="M29" t="s" s="7">
        <v>84</v>
      </c>
      <c r="N29" t="s" s="8">
        <v>19</v>
      </c>
      <c r="O29" t="s" s="9">
        <v>19</v>
      </c>
      <c r="P29" t="s" s="9">
        <v>15</v>
      </c>
      <c r="Q29" t="s" s="9">
        <v>16</v>
      </c>
      <c r="R29" t="s" s="9">
        <v>15</v>
      </c>
      <c r="S29" t="s" s="9">
        <v>16</v>
      </c>
    </row>
    <row r="30" ht="37.95" customHeight="1">
      <c r="M30" t="s" s="7">
        <v>85</v>
      </c>
      <c r="N30" t="s" s="8">
        <v>19</v>
      </c>
      <c r="O30" t="s" s="9">
        <v>19</v>
      </c>
      <c r="P30" t="s" s="9">
        <v>15</v>
      </c>
      <c r="Q30" t="s" s="9">
        <v>16</v>
      </c>
      <c r="R30" t="s" s="9">
        <v>15</v>
      </c>
      <c r="S30" t="s" s="9">
        <v>16</v>
      </c>
    </row>
    <row r="31" ht="37.95" customHeight="1">
      <c r="M31" t="s" s="7">
        <v>86</v>
      </c>
      <c r="N31" t="s" s="8">
        <v>19</v>
      </c>
      <c r="O31" t="s" s="9">
        <v>19</v>
      </c>
      <c r="P31" t="s" s="9">
        <v>15</v>
      </c>
      <c r="Q31" t="s" s="9">
        <v>16</v>
      </c>
      <c r="R31" t="s" s="9">
        <v>15</v>
      </c>
      <c r="S31" t="s" s="9">
        <v>16</v>
      </c>
    </row>
    <row r="32" ht="22.95" customHeight="1">
      <c r="M32" t="s" s="7">
        <v>87</v>
      </c>
      <c r="N32" t="s" s="8">
        <v>19</v>
      </c>
      <c r="O32" t="s" s="9">
        <v>19</v>
      </c>
      <c r="P32" t="s" s="9">
        <v>15</v>
      </c>
      <c r="Q32" t="s" s="9">
        <v>16</v>
      </c>
      <c r="R32" t="s" s="9">
        <v>15</v>
      </c>
      <c r="S32" t="s" s="9">
        <v>16</v>
      </c>
    </row>
    <row r="33" ht="37.95" customHeight="1">
      <c r="M33" t="s" s="7">
        <v>88</v>
      </c>
      <c r="N33" t="s" s="8">
        <v>19</v>
      </c>
      <c r="O33" t="s" s="9">
        <v>19</v>
      </c>
      <c r="P33" t="s" s="9">
        <v>15</v>
      </c>
      <c r="Q33" t="s" s="9">
        <v>16</v>
      </c>
      <c r="R33" t="s" s="9">
        <v>15</v>
      </c>
      <c r="S33" t="s" s="9">
        <v>16</v>
      </c>
    </row>
    <row r="34" ht="22.95" customHeight="1">
      <c r="M34" t="s" s="7">
        <v>89</v>
      </c>
      <c r="N34" t="s" s="8">
        <v>19</v>
      </c>
      <c r="O34" t="s" s="9">
        <v>19</v>
      </c>
      <c r="P34" t="s" s="9">
        <v>15</v>
      </c>
      <c r="Q34" t="s" s="9">
        <v>16</v>
      </c>
      <c r="R34" t="s" s="9">
        <v>15</v>
      </c>
      <c r="S34" t="s" s="9">
        <v>16</v>
      </c>
    </row>
    <row r="35" ht="22.95" customHeight="1">
      <c r="M35" t="s" s="7">
        <v>90</v>
      </c>
      <c r="N35" t="s" s="8">
        <v>19</v>
      </c>
      <c r="O35" t="s" s="9">
        <v>19</v>
      </c>
      <c r="P35" t="s" s="9">
        <v>15</v>
      </c>
      <c r="Q35" t="s" s="9">
        <v>16</v>
      </c>
      <c r="R35" t="s" s="9">
        <v>15</v>
      </c>
      <c r="S35" t="s" s="9">
        <v>16</v>
      </c>
    </row>
    <row r="36" ht="332.05" customHeight="1">
      <c r="M36" t="s" s="7">
        <v>91</v>
      </c>
      <c r="N36" t="s" s="8">
        <v>222</v>
      </c>
      <c r="O36" t="s" s="9">
        <v>19</v>
      </c>
      <c r="P36" t="s" s="9">
        <v>16</v>
      </c>
      <c r="Q36" t="s" s="9">
        <v>15</v>
      </c>
      <c r="R36" t="s" s="9">
        <v>15</v>
      </c>
      <c r="S36" t="s" s="9">
        <v>16</v>
      </c>
    </row>
    <row r="37" ht="22.95" customHeight="1">
      <c r="M37" t="s" s="7">
        <v>76</v>
      </c>
      <c r="N37" s="10"/>
      <c r="O37" s="11"/>
      <c r="P37" s="12">
        <f>COUNTIF(P27:P36,"=True")</f>
        <v>9</v>
      </c>
      <c r="Q37" s="12">
        <f>COUNTIF(Q27:Q36,"=True")</f>
        <v>1</v>
      </c>
      <c r="R37" s="12">
        <f>COUNTIF(R27:R36,"=True")</f>
        <v>10</v>
      </c>
      <c r="S37" s="12">
        <f>COUNTIF(S27:S36,"=True")</f>
        <v>0</v>
      </c>
    </row>
    <row r="39" ht="27.65" customHeight="1">
      <c r="T39" t="s" s="2">
        <v>92</v>
      </c>
      <c r="U39" s="2"/>
      <c r="V39" s="2"/>
      <c r="W39" s="2"/>
      <c r="X39" s="2"/>
    </row>
    <row r="40" ht="20.25" customHeight="1">
      <c r="T40" s="15"/>
      <c r="U40" t="s" s="3">
        <v>93</v>
      </c>
      <c r="V40" t="s" s="3">
        <v>94</v>
      </c>
      <c r="W40" t="s" s="3">
        <v>95</v>
      </c>
      <c r="X40" t="s" s="3">
        <v>96</v>
      </c>
    </row>
    <row r="41" ht="20.25" customHeight="1">
      <c r="T41" t="s" s="16">
        <v>1</v>
      </c>
      <c r="U41" s="17">
        <f>E23</f>
        <v>8</v>
      </c>
      <c r="V41" s="18">
        <f>F23+Q37</f>
        <v>12</v>
      </c>
      <c r="W41" s="18">
        <f>P37</f>
        <v>9</v>
      </c>
      <c r="X41" s="18">
        <f>G23</f>
        <v>1</v>
      </c>
    </row>
    <row r="42" ht="20.05" customHeight="1">
      <c r="T42" t="s" s="19">
        <v>2</v>
      </c>
      <c r="U42" s="20">
        <f>H23</f>
        <v>14</v>
      </c>
      <c r="V42" s="12">
        <f>I23+S37</f>
        <v>0</v>
      </c>
      <c r="W42" s="12">
        <f>R37</f>
        <v>10</v>
      </c>
      <c r="X42" s="12">
        <f>J23</f>
        <v>6</v>
      </c>
    </row>
    <row r="44" ht="27.65" customHeight="1">
      <c r="Y44" t="s" s="2">
        <v>97</v>
      </c>
      <c r="Z44" s="2"/>
      <c r="AA44" s="2"/>
      <c r="AB44" s="2"/>
      <c r="AC44" s="2"/>
    </row>
    <row r="45" ht="20.25" customHeight="1">
      <c r="Y45" s="15"/>
      <c r="Z45" t="s" s="3">
        <v>98</v>
      </c>
      <c r="AA45" t="s" s="3">
        <v>99</v>
      </c>
      <c r="AB45" t="s" s="3">
        <v>100</v>
      </c>
      <c r="AC45" t="s" s="3">
        <v>101</v>
      </c>
    </row>
    <row r="46" ht="20.25" customHeight="1">
      <c r="Y46" t="s" s="16">
        <v>1</v>
      </c>
      <c r="Z46" s="17">
        <f>U41/(U41+V41)</f>
        <v>0.4</v>
      </c>
      <c r="AA46" s="18">
        <f>U41/(U41+X41)</f>
        <v>0.888888888888889</v>
      </c>
      <c r="AB46" s="18">
        <f>2*((Z46*AA46)/(Z46+AA46))</f>
        <v>0.551724137931035</v>
      </c>
      <c r="AC46" s="18">
        <f>K23/20</f>
        <v>0.95</v>
      </c>
    </row>
    <row r="47" ht="20.05" customHeight="1">
      <c r="Y47" t="s" s="19">
        <v>2</v>
      </c>
      <c r="Z47" s="20">
        <f>U42/(U42+V42)</f>
        <v>1</v>
      </c>
      <c r="AA47" s="12">
        <f>U42/(U42+X42)</f>
        <v>0.7</v>
      </c>
      <c r="AB47" s="12">
        <f>2*((Z47*AA47)/(Z47+AA47))</f>
        <v>0.823529411764706</v>
      </c>
      <c r="AC47" s="12">
        <f>L23/20</f>
        <v>0.7</v>
      </c>
    </row>
  </sheetData>
  <mergeCells count="4">
    <mergeCell ref="A1:L1"/>
    <mergeCell ref="M25:S25"/>
    <mergeCell ref="T39:X39"/>
    <mergeCell ref="Y44:AC44"/>
  </mergeCells>
  <hyperlinks>
    <hyperlink ref="B3" r:id="rId1" location="" tooltip="" display="https://www.acibadem.com.tr/ilgi-alani/acik-kalp-ameliyati/"/>
    <hyperlink ref="C3" r:id="rId2" location="" tooltip="" display="https://www.acibadem.com.tr/ilgi-alani/acik-kalp-ameliyati/"/>
    <hyperlink ref="D3" r:id="rId3" location="" tooltip="" display="https://www.acibadem.com.tr/ilgi-alani/acik-kalp-ameliyati/"/>
    <hyperlink ref="B4" r:id="rId4" location="" tooltip="" display="https://www.acibadem.com.tr/acibadem-de/onkolojik-cerrahi/"/>
    <hyperlink ref="C4" r:id="rId5" location="" tooltip="" display="https://www.acibadem.com.tr/acibadem-de/onkolojik-cerrahi/"/>
    <hyperlink ref="D4" r:id="rId6" location="" tooltip="" display="https://www.acibadem.com.tr/acibadem-de/onkolojik-cerrahi/"/>
    <hyperlink ref="B5" r:id="rId7" location="" tooltip="" display="https://www.acibadem.com.tr/ilgi-alani/mide-bulantisi-neden-olur-surekli-mide-bulantisi-nedenleri/"/>
    <hyperlink ref="C5" r:id="rId8" location="" tooltip="" display="https://www.acibadem.com.tr/ilgi-alani/mide-bulantisi-neden-olur-surekli-mide-bulantisi-nedenleri/"/>
    <hyperlink ref="D5" r:id="rId9" location="" tooltip="" display="https://www.acibadem.com.tr/ilgi-alani/mide-bulantisi-neden-olur-surekli-mide-bulantisi-nedenleri/"/>
    <hyperlink ref="B6" r:id="rId10" location="" tooltip="" display="https://www.acibadem.com.tr/ilgi-alani/agiz-yarasi-nedir-belirtileri-ve-nedenleri/"/>
    <hyperlink ref="C6" r:id="rId11" location="" tooltip="" display="https://www.acibadem.com.tr/ilgi-alani/agiz-yarasi-nedir-belirtileri-ve-nedenleri/"/>
    <hyperlink ref="D6" r:id="rId12" location="" tooltip="" display="https://www.acibadem.com.tr/ilgi-alani/agiz-yarasi-nedir-belirtileri-ve-nedenleri/"/>
    <hyperlink ref="B7" r:id="rId13" location="" tooltip="" display="https://www.acibadem.com.tr/ilgi-alani/adet-gecikmesi-nedenleri-regl-gecikmesi-neden-olur/"/>
    <hyperlink ref="D7" r:id="rId14" location="" tooltip="" display="https://www.acibadem.com.tr/ilgi-alani/adet-gecikmesi-nedenleri-regl-gecikmesi-neden-olur/"/>
    <hyperlink ref="B8" r:id="rId15" location="" tooltip="" display="https://www.acibadem.com.tr/ilgi-alani/adh-vazopressin-nedir/"/>
    <hyperlink ref="D8" r:id="rId16" location="" tooltip="" display="https://www.acibadem.com.tr/ilgi-alani/adh-vazopressin-nedir/"/>
    <hyperlink ref="B9" r:id="rId17" location="" tooltip="" display="https://www.acibadem.com.tr/ilgi-alani/bel-fitigi-nedir/"/>
    <hyperlink ref="C9" r:id="rId18" location="" tooltip="" display="https://www.acibadem.com.tr/ilgi-alani/bel-fitigi-nedir/"/>
    <hyperlink ref="D9" r:id="rId19" location="" tooltip="" display="https://www.acibadem.com.tr/ilgi-alani/bel-fitigi-nedir/"/>
    <hyperlink ref="B10" r:id="rId20" location="" tooltip="" display="https://www.acibadem.com.tr/ilgi-alani/ampute-ne-demek/"/>
    <hyperlink ref="D10" r:id="rId21" location="" tooltip="" display="https://www.acibadem.com.tr/ilgi-alani/ampute-ne-demek/"/>
    <hyperlink ref="B11" r:id="rId22" location="" tooltip="" display="https://www.acibadem.com.tr/ilgi-alani/amilaz-nedir/"/>
    <hyperlink ref="D11" r:id="rId23" location="" tooltip="" display="https://www.acibadem.com.tr/ilgi-alani/amilaz-nedir/"/>
    <hyperlink ref="B12" r:id="rId24" location="" tooltip="" display="https://www.acibadem.com.tr/ilgi-alani/ameliyatsiz-goz-kapagi-estetigi/"/>
    <hyperlink ref="C12" r:id="rId25" location="" tooltip="" display="https://www.acibadem.com.tr/ilgi-alani/ameliyatsiz-goz-kapagi-estetigi/"/>
    <hyperlink ref="D12" r:id="rId26" location="" tooltip="" display="https://www.acibadem.com.tr/ilgi-alani/ameliyatsiz-goz-kapagi-estetigi/"/>
    <hyperlink ref="B13" r:id="rId27" location="" tooltip="" display="https://www.acibadem.com.tr/ilgi-alani/amiloidoz-nedir-organlarda-protein-birikimi/"/>
    <hyperlink ref="C13" r:id="rId28" location="" tooltip="" display="https://www.acibadem.com.tr/ilgi-alani/amiloidoz-nedir-organlarda-protein-birikimi/"/>
    <hyperlink ref="D13" r:id="rId29" location="" tooltip="" display="https://www.acibadem.com.tr/ilgi-alani/amiloidoz-nedir-organlarda-protein-birikimi/"/>
    <hyperlink ref="D14" r:id="rId30" location="" tooltip="" display="https://www.acibadem.com.tr/ilgi-alani/amok-hastaligi-nedir-ani-ofke-patlamalari/"/>
    <hyperlink ref="B15" r:id="rId31" location="" tooltip="" display="https://www.acibadem.com.tr/ilgi-alani/anoreksiya-nedir-anoreksiya-nervoza-belirtileri/"/>
    <hyperlink ref="C15" r:id="rId32" location="" tooltip="" display="https://www.acibadem.com.tr/ilgi-alani/anoreksiya-nedir-anoreksiya-nervoza-belirtileri/"/>
    <hyperlink ref="D15" r:id="rId33" location="" tooltip="" display="https://www.acibadem.com.tr/ilgi-alani/anoreksiya-nedir-anoreksiya-nervoza-belirtileri/"/>
    <hyperlink ref="B16" r:id="rId34" location="" tooltip="" display="https://www.acibadem.com.tr/ilgi-alani/ankilozan-spondilit/"/>
    <hyperlink ref="C16" r:id="rId35" location="" tooltip="" display="https://www.acibadem.com.tr/ilgi-alani/ankilozan-spondilit/"/>
    <hyperlink ref="D16" r:id="rId36" location="" tooltip="" display="https://www.acibadem.com.tr/ilgi-alani/ankilozan-spondilit/"/>
    <hyperlink ref="B17" r:id="rId37" location="" tooltip="" display="https://www.acibadem.com.tr/ilgi-alani/anksiyete/"/>
    <hyperlink ref="D17" r:id="rId38" location="" tooltip="" display="https://www.acibadem.com.tr/ilgi-alani/anksiyete/"/>
    <hyperlink ref="B18" r:id="rId39" location="" tooltip="" display="https://www.acibadem.com.tr/ilgi-alani/baso-bazofil-nedir-yuksekligi-dusuklugu/"/>
    <hyperlink ref="C18" r:id="rId40" location="" tooltip="" display="https://www.acibadem.com.tr/ilgi-alani/baso-bazofil-nedir-yuksekligi-dusuklugu/"/>
    <hyperlink ref="D18" r:id="rId41" location="" tooltip="" display="https://www.acibadem.com.tr/ilgi-alani/baso-bazofil-nedir-yuksekligi-dusuklugu/"/>
    <hyperlink ref="B19" r:id="rId42" location="" tooltip="" display="https://www.acibadem.com.tr/ilgi-alani/antikor/"/>
    <hyperlink ref="C19" r:id="rId43" location="" tooltip="" display="https://www.acibadem.com.tr/ilgi-alani/antikor/"/>
    <hyperlink ref="D19" r:id="rId44" location="" tooltip="" display="https://www.acibadem.com.tr/ilgi-alani/antikor/"/>
    <hyperlink ref="B20" r:id="rId45" location="" tooltip="" display="https://www.acibadem.com.tr/ilgi-alani/ari-sokmasi/"/>
    <hyperlink ref="C20" r:id="rId46" location="" tooltip="" display="https://www.acibadem.com.tr/ilgi-alani/ari-sokmasi/"/>
    <hyperlink ref="D20" r:id="rId47" location="" tooltip="" display="https://www.acibadem.com.tr/ilgi-alani/ari-sokmasi/"/>
    <hyperlink ref="B21" r:id="rId48" location="" tooltip="" display="https://www.acibadem.com.tr/ilgi-alani/arrest-nedir-kardiyak-arrest-nedir/"/>
    <hyperlink ref="C21" r:id="rId49" location="" tooltip="" display="https://www.acibadem.com.tr/ilgi-alani/arrest-nedir-kardiyak-arrest-nedir/"/>
    <hyperlink ref="D21" r:id="rId50" location="" tooltip="" display="https://www.acibadem.com.tr/ilgi-alani/arrest-nedir-kardiyak-arrest-nedir/"/>
    <hyperlink ref="B22" r:id="rId51" location="" tooltip="" display="https://www.acibadem.com.tr/ilgi-alani/aort-kapak-darligi-nedir/"/>
    <hyperlink ref="C22" r:id="rId52" location="" tooltip="" display="https://www.acibadem.com.tr/ilgi-alani/aort-kapak-darligi-nedir/"/>
    <hyperlink ref="D22" r:id="rId53" location="" tooltip="" display="https://www.acibadem.com.tr/ilgi-alani/aort-kapak-darligi-nedir/"/>
    <hyperlink ref="N36" r:id="rId54" location="" tooltip="" display="https://www.acibadem.com.tr/ilgi-alani/araknoid-kist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